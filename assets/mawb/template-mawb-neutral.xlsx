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d.docs.live.net/8a3a8882185b0151/Documents/AMBARA ARTHA GLOBALTRANS/Operations/"/>
    </mc:Choice>
  </mc:AlternateContent>
  <xr:revisionPtr revIDLastSave="70" documentId="11_A2E091B80566966B3E665FB5C67F78277254E45C" xr6:coauthVersionLast="47" xr6:coauthVersionMax="47" xr10:uidLastSave="{4087B478-587B-4CE7-8BDE-6235A4A3569D}"/>
  <bookViews>
    <workbookView xWindow="-120" yWindow="-120" windowWidth="29040" windowHeight="15720" activeTab="5" xr2:uid="{00000000-000D-0000-FFFF-FFFF00000000}"/>
  </bookViews>
  <sheets>
    <sheet name="1" sheetId="1" r:id="rId1"/>
    <sheet name="2" sheetId="11" r:id="rId2"/>
    <sheet name="3" sheetId="12" r:id="rId3"/>
    <sheet name="4" sheetId="13" r:id="rId4"/>
    <sheet name="5" sheetId="14" r:id="rId5"/>
    <sheet name="6" sheetId="15" r:id="rId6"/>
    <sheet name="7" sheetId="16" r:id="rId7"/>
    <sheet name="8" sheetId="17" r:id="rId8"/>
    <sheet name="9" sheetId="18" r:id="rId9"/>
    <sheet name="10" sheetId="1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S29" i="15" l="1"/>
  <c r="AO50" i="19"/>
  <c r="AC50" i="19"/>
  <c r="AA29" i="19"/>
  <c r="S29" i="19"/>
  <c r="D29" i="19"/>
  <c r="A29" i="19"/>
  <c r="A26" i="19"/>
  <c r="A25" i="19"/>
  <c r="A23" i="19"/>
  <c r="BE21" i="19"/>
  <c r="AV21" i="19"/>
  <c r="AH21" i="19"/>
  <c r="D21" i="19"/>
  <c r="A20" i="19"/>
  <c r="A19" i="19"/>
  <c r="A14" i="19"/>
  <c r="A9" i="19"/>
  <c r="A8" i="19"/>
  <c r="A4" i="19"/>
  <c r="A3" i="19"/>
  <c r="AN2" i="19"/>
  <c r="G1" i="19"/>
  <c r="A1" i="19"/>
  <c r="AO50" i="18"/>
  <c r="AC50" i="18"/>
  <c r="AA29" i="18"/>
  <c r="S29" i="18"/>
  <c r="D29" i="18"/>
  <c r="A29" i="18"/>
  <c r="A26" i="18"/>
  <c r="A25" i="18"/>
  <c r="A23" i="18"/>
  <c r="BE21" i="18"/>
  <c r="AV21" i="18"/>
  <c r="AH21" i="18"/>
  <c r="D21" i="18"/>
  <c r="A20" i="18"/>
  <c r="A19" i="18"/>
  <c r="A14" i="18"/>
  <c r="A9" i="18"/>
  <c r="A8" i="18"/>
  <c r="A4" i="18"/>
  <c r="A3" i="18"/>
  <c r="AN2" i="18"/>
  <c r="G1" i="18"/>
  <c r="A1" i="18"/>
  <c r="AO50" i="17"/>
  <c r="AC50" i="17"/>
  <c r="AA29" i="17"/>
  <c r="S29" i="17"/>
  <c r="D29" i="17"/>
  <c r="A29" i="17"/>
  <c r="A26" i="17"/>
  <c r="A25" i="17"/>
  <c r="A23" i="17"/>
  <c r="BE21" i="17"/>
  <c r="AV21" i="17"/>
  <c r="AH21" i="17"/>
  <c r="D21" i="17"/>
  <c r="A20" i="17"/>
  <c r="A19" i="17"/>
  <c r="A14" i="17"/>
  <c r="A9" i="17"/>
  <c r="A8" i="17"/>
  <c r="A4" i="17"/>
  <c r="A3" i="17"/>
  <c r="AN2" i="17"/>
  <c r="G1" i="17"/>
  <c r="A1" i="17"/>
  <c r="AO50" i="16"/>
  <c r="AC50" i="16"/>
  <c r="AA29" i="16"/>
  <c r="S29" i="16"/>
  <c r="D29" i="16"/>
  <c r="A29" i="16"/>
  <c r="A23" i="16"/>
  <c r="BE21" i="16"/>
  <c r="AV21" i="16"/>
  <c r="AH21" i="16"/>
  <c r="D21" i="16"/>
  <c r="A20" i="16"/>
  <c r="A19" i="16"/>
  <c r="A14" i="16"/>
  <c r="A9" i="16"/>
  <c r="A8" i="16"/>
  <c r="A4" i="16"/>
  <c r="A3" i="16"/>
  <c r="AN2" i="16"/>
  <c r="G1" i="16"/>
  <c r="A1" i="16"/>
  <c r="AO55" i="15"/>
  <c r="AC55" i="15"/>
  <c r="AA29" i="15"/>
  <c r="S29" i="15"/>
  <c r="D29" i="15"/>
  <c r="A29" i="15"/>
  <c r="A23" i="15"/>
  <c r="BE21" i="15"/>
  <c r="AV21" i="15"/>
  <c r="AH21" i="15"/>
  <c r="D21" i="15"/>
  <c r="A20" i="15"/>
  <c r="A19" i="15"/>
  <c r="A14" i="15"/>
  <c r="A9" i="15"/>
  <c r="A8" i="15"/>
  <c r="A4" i="15"/>
  <c r="A3" i="15"/>
  <c r="AN2" i="15"/>
  <c r="G1" i="15"/>
  <c r="A1" i="15"/>
  <c r="AO52" i="14"/>
  <c r="AC52" i="14"/>
  <c r="AA29" i="14"/>
  <c r="S29" i="14"/>
  <c r="D29" i="14"/>
  <c r="A29" i="14"/>
  <c r="A23" i="14"/>
  <c r="BE21" i="14"/>
  <c r="AV21" i="14"/>
  <c r="AH21" i="14"/>
  <c r="D21" i="14"/>
  <c r="A20" i="14"/>
  <c r="A19" i="14"/>
  <c r="A14" i="14"/>
  <c r="A9" i="14"/>
  <c r="A8" i="14"/>
  <c r="A4" i="14"/>
  <c r="A3" i="14"/>
  <c r="AN2" i="14"/>
  <c r="G1" i="14"/>
  <c r="A1" i="14"/>
  <c r="AO52" i="13"/>
  <c r="AC52" i="13"/>
  <c r="AA29" i="13"/>
  <c r="S29" i="13"/>
  <c r="D29" i="13"/>
  <c r="A29" i="13"/>
  <c r="A23" i="13"/>
  <c r="BE21" i="13"/>
  <c r="AV21" i="13"/>
  <c r="AH21" i="13"/>
  <c r="D21" i="13"/>
  <c r="A20" i="13"/>
  <c r="A19" i="13"/>
  <c r="A14" i="13"/>
  <c r="A9" i="13"/>
  <c r="A8" i="13"/>
  <c r="A4" i="13"/>
  <c r="A3" i="13"/>
  <c r="AN2" i="13"/>
  <c r="G1" i="13"/>
  <c r="A1" i="13"/>
  <c r="AO52" i="12"/>
  <c r="AC52" i="12"/>
  <c r="A29" i="12"/>
  <c r="A23" i="12"/>
  <c r="BE21" i="12"/>
  <c r="AV21" i="12"/>
  <c r="AH21" i="12"/>
  <c r="D21" i="12"/>
  <c r="A20" i="12"/>
  <c r="A19" i="12"/>
  <c r="A14" i="12"/>
  <c r="A9" i="12"/>
  <c r="A8" i="12"/>
  <c r="A3" i="12"/>
  <c r="G1" i="12"/>
  <c r="AO52" i="11"/>
  <c r="AC52" i="11"/>
  <c r="AS29" i="11"/>
  <c r="AS29" i="12" s="1"/>
  <c r="AS29" i="13" s="1"/>
  <c r="AS29" i="14" s="1"/>
  <c r="AA29" i="11"/>
  <c r="S29" i="11"/>
  <c r="D29" i="11"/>
  <c r="A29" i="11"/>
  <c r="Z23" i="11"/>
  <c r="R23" i="11"/>
  <c r="A23" i="11"/>
  <c r="BE21" i="11"/>
  <c r="AV21" i="11"/>
  <c r="AH21" i="11"/>
  <c r="D21" i="11"/>
  <c r="A20" i="11"/>
  <c r="A19" i="11"/>
  <c r="A14" i="11"/>
  <c r="A9" i="11"/>
  <c r="A8" i="11"/>
  <c r="A4" i="11"/>
  <c r="A3" i="11"/>
  <c r="AN2" i="11"/>
  <c r="G1" i="11"/>
  <c r="A1" i="11"/>
  <c r="AB46" i="1"/>
  <c r="A46" i="1"/>
  <c r="AI29" i="1"/>
  <c r="AT1" i="1"/>
  <c r="AS29" i="16" l="1"/>
  <c r="AS29" i="17" s="1"/>
  <c r="AS29" i="18" s="1"/>
  <c r="AS29" i="19" s="1"/>
  <c r="AB49" i="15"/>
  <c r="A44" i="18"/>
  <c r="AI29" i="16"/>
  <c r="AI29" i="15"/>
  <c r="S29" i="12"/>
  <c r="AN2" i="12"/>
  <c r="A1" i="12"/>
  <c r="A44" i="17"/>
  <c r="AI29" i="17"/>
  <c r="A44" i="16"/>
  <c r="AT1" i="16"/>
  <c r="D29" i="12"/>
  <c r="Z23" i="12"/>
  <c r="Z23" i="13" s="1"/>
  <c r="A49" i="15"/>
  <c r="AB46" i="11"/>
  <c r="AB46" i="14"/>
  <c r="A46" i="14"/>
  <c r="AI29" i="14"/>
  <c r="AA29" i="12"/>
  <c r="R23" i="12"/>
  <c r="AB44" i="19"/>
  <c r="A44" i="19"/>
  <c r="AI29" i="19"/>
  <c r="A36" i="19" s="1"/>
  <c r="AB44" i="18"/>
  <c r="AT1" i="15"/>
  <c r="AO57" i="15" s="1"/>
  <c r="AT1" i="14"/>
  <c r="AO54" i="14" s="1"/>
  <c r="AB46" i="13"/>
  <c r="A46" i="13"/>
  <c r="AI29" i="13"/>
  <c r="A38" i="13" s="1"/>
  <c r="AT1" i="13"/>
  <c r="AO54" i="13" s="1"/>
  <c r="AT1" i="12"/>
  <c r="AO54" i="12" s="1"/>
  <c r="A46" i="11"/>
  <c r="AT1" i="19"/>
  <c r="AO52" i="19" s="1"/>
  <c r="AI29" i="18"/>
  <c r="A36" i="18" s="1"/>
  <c r="AT1" i="18"/>
  <c r="AO52" i="18" s="1"/>
  <c r="AB44" i="17"/>
  <c r="AT1" i="17"/>
  <c r="AO52" i="17" s="1"/>
  <c r="AB44" i="16"/>
  <c r="AB46" i="12"/>
  <c r="A46" i="12"/>
  <c r="AI29" i="12"/>
  <c r="A38" i="12" s="1"/>
  <c r="A50" i="12" s="1"/>
  <c r="AI29" i="11"/>
  <c r="A38" i="11" s="1"/>
  <c r="AT1" i="11"/>
  <c r="AO54" i="11" s="1"/>
  <c r="AO54" i="1"/>
  <c r="A38" i="1"/>
  <c r="A50" i="1" s="1"/>
  <c r="A50" i="13" l="1"/>
  <c r="Z23" i="14"/>
  <c r="A48" i="19"/>
  <c r="R23" i="13"/>
  <c r="R23" i="14" s="1"/>
  <c r="R23" i="15" s="1"/>
  <c r="R23" i="16" s="1"/>
  <c r="R23" i="17" s="1"/>
  <c r="R23" i="18" s="1"/>
  <c r="R23" i="19" s="1"/>
  <c r="AO52" i="16"/>
  <c r="A48" i="18"/>
  <c r="A36" i="17"/>
  <c r="A48" i="17" s="1"/>
  <c r="A36" i="16"/>
  <c r="A48" i="16" s="1"/>
  <c r="A41" i="15"/>
  <c r="A53" i="15" s="1"/>
  <c r="A38" i="14"/>
  <c r="A50" i="14" s="1"/>
  <c r="A50" i="11"/>
  <c r="Z23" i="15" l="1"/>
  <c r="Z23" i="16" s="1"/>
  <c r="Z23" i="17" s="1"/>
  <c r="Z23" i="18" s="1"/>
  <c r="Z23" i="19" s="1"/>
</calcChain>
</file>

<file path=xl/sharedStrings.xml><?xml version="1.0" encoding="utf-8"?>
<sst xmlns="http://schemas.openxmlformats.org/spreadsheetml/2006/main" count="606" uniqueCount="82">
  <si>
    <t>CGK</t>
  </si>
  <si>
    <t>Shipper's Name and Address</t>
  </si>
  <si>
    <t>Shipper's Account Number</t>
  </si>
  <si>
    <t>Not Negotiable</t>
  </si>
  <si>
    <t>GARUDA INDONESIA</t>
  </si>
  <si>
    <t>PT. NUR INFINIT INDOALEA GLOBAL</t>
  </si>
  <si>
    <t>Airway Bill</t>
  </si>
  <si>
    <t>JALAN GADING KIRANA TIMUR, A-11 / 15 DESA KELAPA GADING BARAT, KEC. KELAPA GADING, KOTA ADM. JAKARTA UTARA,PROVINSI DKI JAKARTA,14240
TLP +087835048980</t>
  </si>
  <si>
    <t>Issued by</t>
  </si>
  <si>
    <t>Copies 1, 2 and 3 of this Air Waybill are originals and have the same validity</t>
  </si>
  <si>
    <t>Consignee Name and Address</t>
  </si>
  <si>
    <t>Consignee's Account Number</t>
  </si>
  <si>
    <t>It is agreed that the goods described herein are accepted in apparent good order and condition (except as noted) for carriage SUBJECT TO THE CONDITIONS OF CONTRACT ON THE REVERSE HEREOF. ALL GOODS MAY BE CARRIED BY ANY OTHER MEANS INCLUDING ROAD OR ANY OTHER CARRIER UNLESS SPECIFIC CONTRARY INSTRUCTIONS ARE GIVEN HEREON BY THE SHIPPER, AND SHIPPER AGREES THAT THE SHIPMENT MAY BE CARRIED VIA INTERMEDIATE STOPPING PLACES WHICH THE CARRIER DEEMS APPROPRIATE. THE SHIPPER’S ATTENTION IS DRAWN TO THE NOTICE CONCERNING CARRIER’S LIMITATION OF LIABILITY. Shipper may increase such limitation of liability by declaring a higher value for carriage and paying a supplemental charge if required.</t>
  </si>
  <si>
    <t>LINEHAUL EXPRESS SINGAPORE PTE LTD</t>
  </si>
  <si>
    <t>7 AIRLINE ROAD, 03-12 CARGO AGENT'S BUILDING - E
SINGAPORE - 819834
PHONE +65 65453778</t>
  </si>
  <si>
    <t>Issuing Carrier's Agent Name and City</t>
  </si>
  <si>
    <t>Accounting Information</t>
  </si>
  <si>
    <t>PT PLI</t>
  </si>
  <si>
    <t>Agent's IATA Code</t>
  </si>
  <si>
    <t>Account No.</t>
  </si>
  <si>
    <t>Airport of Departure (Addr. Of First Carrier) and Requested Routing</t>
  </si>
  <si>
    <t>SOEKARNO-HATTA INTERNATIONAL AIRPORT</t>
  </si>
  <si>
    <t>SIN</t>
  </si>
  <si>
    <t>By first Carrier</t>
  </si>
  <si>
    <t>to
MLE</t>
  </si>
  <si>
    <t>by
AK</t>
  </si>
  <si>
    <t>to</t>
  </si>
  <si>
    <t>by</t>
  </si>
  <si>
    <t>Currency</t>
  </si>
  <si>
    <t>Chgs.
Code</t>
  </si>
  <si>
    <t>WT/VAL</t>
  </si>
  <si>
    <t>Other</t>
  </si>
  <si>
    <t>Declared Value for Carriage</t>
  </si>
  <si>
    <t>Declared Value for Customs</t>
  </si>
  <si>
    <t>IDR</t>
  </si>
  <si>
    <t>PPD</t>
  </si>
  <si>
    <t>COLL</t>
  </si>
  <si>
    <t>NVD</t>
  </si>
  <si>
    <t>NCV</t>
  </si>
  <si>
    <t>Airport of Destination</t>
  </si>
  <si>
    <t>Flight/Date</t>
  </si>
  <si>
    <t>Amount of Insurance</t>
  </si>
  <si>
    <t xml:space="preserve"> INSURANCE - if carrier others Insurance, and such insurance is requested in accordance with the conditions the real, indicate amount to be insured in figures in box marked "Amount of Insurance".</t>
  </si>
  <si>
    <t>SINGAPORE</t>
  </si>
  <si>
    <t>GA 824</t>
  </si>
  <si>
    <t>NIL</t>
  </si>
  <si>
    <t>Handling Information</t>
  </si>
  <si>
    <t>No. of Pieces RCP</t>
  </si>
  <si>
    <t>Gross Weight</t>
  </si>
  <si>
    <t>kg
lb</t>
  </si>
  <si>
    <t>Rate Class</t>
  </si>
  <si>
    <t>Chargeable Weight</t>
  </si>
  <si>
    <t>Rate</t>
  </si>
  <si>
    <t>Total</t>
  </si>
  <si>
    <t>Nature and Quantity of Goods
(Incl. Dimensions or Volume)</t>
  </si>
  <si>
    <t>Commodity Item No.</t>
  </si>
  <si>
    <t>Charges</t>
  </si>
  <si>
    <t>K</t>
  </si>
  <si>
    <t>Q</t>
  </si>
  <si>
    <t>Other Charges</t>
  </si>
  <si>
    <t>Shipper certifies that the particulars on the face hereof are correct and that insofar as any part of the consignment contains dangerous goods, such part is property described by name and is in proper condition for carriage by air according to the applicable Dangerous Goods Regulations.</t>
  </si>
  <si>
    <t>Signature of Shipper of this Agent</t>
  </si>
  <si>
    <t>Executed on</t>
  </si>
  <si>
    <t>(Date)</t>
  </si>
  <si>
    <t>At</t>
  </si>
  <si>
    <t>(Place)</t>
  </si>
  <si>
    <t>Signature of Issuing Carrier or its Agent</t>
  </si>
  <si>
    <t>For Carrier's Use Only 
At Destination</t>
  </si>
  <si>
    <t>Original 1 - (For Issuing Carrier)</t>
  </si>
  <si>
    <t>Air Waybill</t>
  </si>
  <si>
    <t>Original 2 - (For Consignee)</t>
  </si>
  <si>
    <t>JALAN GADING KIRANA TIMUR, A-11 / 15 DESA KELAPA GADING BARAT, KEC. KELAPA GADING, KOTA ADM. JAKARTA UTARA,PROVINSI DKI JAKARTA, KODE POS 14240
TLP +087835048980</t>
  </si>
  <si>
    <t>PPD
X</t>
  </si>
  <si>
    <t>COLL
X</t>
  </si>
  <si>
    <t>Original 3 - (For Shipper)</t>
  </si>
  <si>
    <t>Copy 4 - (Delivery Receipt)</t>
  </si>
  <si>
    <t>Copy 5 - (Airport of Destination)</t>
  </si>
  <si>
    <t>Copy  6 - (Third Carrier)</t>
  </si>
  <si>
    <t>Copy 7 - (Second Carrier)</t>
  </si>
  <si>
    <t>Copy 8 - (First Carrier)</t>
  </si>
  <si>
    <t>Copy 9 - (For Sales Agent)</t>
  </si>
  <si>
    <t>Copy 10 - (Extra Copy for 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</si>
</sst>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69">
    <font>
      <sz val="11"/>
      <color theme="1"/>
      <name val="Calibri"/>
      <charset val="134"/>
      <scheme val="minor"/>
    </font>
    <font>
      <b/>
      <sz val="11"/>
      <color theme="1" tint="0.14996795556505021"/>
      <name val="Courier New"/>
      <charset val="134"/>
    </font>
    <font>
      <b/>
      <sz val="11"/>
      <color theme="1"/>
      <name val="Courier New"/>
      <charset val="134"/>
    </font>
    <font>
      <b/>
      <sz val="6"/>
      <color theme="1"/>
      <name val="Arial Narrow"/>
      <charset val="134"/>
    </font>
    <font>
      <sz val="8"/>
      <color theme="1"/>
      <name val="Arial Narrow"/>
      <charset val="134"/>
    </font>
    <font>
      <b/>
      <i/>
      <sz val="15"/>
      <color theme="1"/>
      <name val="Courier New"/>
      <charset val="134"/>
    </font>
    <font>
      <sz val="11"/>
      <color theme="1" tint="0.14996795556505021"/>
      <name val="Courier New"/>
      <charset val="134"/>
    </font>
    <font>
      <sz val="8"/>
      <color theme="1" tint="0.499984740745262"/>
      <name val="Courier New"/>
      <charset val="134"/>
    </font>
    <font>
      <b/>
      <sz val="11"/>
      <color theme="1"/>
      <name val="Arial Narrow"/>
      <charset val="134"/>
    </font>
    <font>
      <sz val="9"/>
      <color theme="1" tint="0.14996795556505021"/>
      <name val="Courier New"/>
      <charset val="134"/>
    </font>
    <font>
      <b/>
      <sz val="7"/>
      <color theme="1"/>
      <name val="Arial Narrow"/>
      <charset val="134"/>
    </font>
    <font>
      <sz val="7"/>
      <color theme="1"/>
      <name val="Arial Narrow"/>
      <charset val="134"/>
    </font>
    <font>
      <b/>
      <sz val="8"/>
      <color theme="1"/>
      <name val="Courier New"/>
      <charset val="134"/>
    </font>
    <font>
      <b/>
      <sz val="5"/>
      <color theme="1"/>
      <name val="Arial Narrow"/>
      <charset val="134"/>
    </font>
    <font>
      <sz val="5"/>
      <color theme="1"/>
      <name val="Arial Narrow"/>
      <charset val="134"/>
    </font>
    <font>
      <sz val="11"/>
      <color theme="1"/>
      <name val="Courier New"/>
      <charset val="134"/>
    </font>
    <font>
      <b/>
      <sz val="11"/>
      <color theme="1"/>
      <name val="Calibri"/>
      <charset val="134"/>
      <scheme val="minor"/>
    </font>
    <font>
      <sz val="10"/>
      <color theme="1" tint="0.499984740745262"/>
      <name val="Courier New"/>
      <charset val="134"/>
    </font>
    <font>
      <b/>
      <sz val="11"/>
      <color theme="1" tint="0.14996795556505021"/>
      <name val="Calibri"/>
      <charset val="134"/>
      <scheme val="minor"/>
    </font>
    <font>
      <sz val="6"/>
      <color theme="1"/>
      <name val="Arial Narrow"/>
      <charset val="134"/>
    </font>
    <font>
      <sz val="11"/>
      <color theme="1" tint="0.14996795556505021"/>
      <name val="Arial Narrow"/>
      <charset val="134"/>
    </font>
    <font>
      <b/>
      <sz val="6"/>
      <color theme="1" tint="0.14996795556505021"/>
      <name val="Arial Narrow"/>
      <charset val="134"/>
    </font>
    <font>
      <b/>
      <sz val="11"/>
      <color theme="1" tint="0.14996795556505021"/>
      <name val="Arial Narrow"/>
      <charset val="134"/>
    </font>
    <font>
      <sz val="12"/>
      <color theme="1"/>
      <name val="Arial"/>
      <charset val="134"/>
    </font>
    <font>
      <sz val="10.8"/>
      <color theme="1" tint="0.14996795556505021"/>
      <name val="Courier New"/>
      <charset val="134"/>
    </font>
    <font>
      <sz val="10"/>
      <color theme="1" tint="0.14996795556505021"/>
      <name val="Courier New"/>
      <charset val="134"/>
    </font>
    <font>
      <b/>
      <sz val="8"/>
      <color theme="1" tint="0.499984740745262"/>
      <name val="Courier New"/>
      <charset val="134"/>
    </font>
    <font>
      <b/>
      <sz val="6"/>
      <color rgb="FFFFFF00"/>
      <name val="Arial Narrow"/>
      <charset val="134"/>
    </font>
    <font>
      <sz val="8"/>
      <color rgb="FFFFFF00"/>
      <name val="Arial Narrow"/>
      <charset val="134"/>
    </font>
    <font>
      <sz val="11"/>
      <color theme="1" tint="0.499984740745262"/>
      <name val="Courier New"/>
      <charset val="134"/>
    </font>
    <font>
      <b/>
      <sz val="11"/>
      <color rgb="FFFFFF00"/>
      <name val="Arial Narrow"/>
      <charset val="134"/>
    </font>
    <font>
      <b/>
      <sz val="7"/>
      <color rgb="FFFFFF00"/>
      <name val="Arial Narrow"/>
      <charset val="134"/>
    </font>
    <font>
      <sz val="7"/>
      <color rgb="FFFFFF00"/>
      <name val="Arial Narrow"/>
      <charset val="134"/>
    </font>
    <font>
      <b/>
      <sz val="5"/>
      <color rgb="FFFFFF00"/>
      <name val="Arial Narrow"/>
      <charset val="134"/>
    </font>
    <font>
      <sz val="5"/>
      <color rgb="FFFFFF00"/>
      <name val="Arial Narrow"/>
      <charset val="134"/>
    </font>
    <font>
      <b/>
      <sz val="11"/>
      <color rgb="FFFFFF00"/>
      <name val="Calibri"/>
      <charset val="134"/>
      <scheme val="minor"/>
    </font>
    <font>
      <sz val="12"/>
      <color rgb="FFFFFF00"/>
      <name val="Arial"/>
      <charset val="134"/>
    </font>
    <font>
      <b/>
      <sz val="6"/>
      <color rgb="FF0070C0"/>
      <name val="Arial Narrow"/>
      <charset val="134"/>
    </font>
    <font>
      <sz val="8"/>
      <color rgb="FF0070C0"/>
      <name val="Arial Narrow"/>
      <charset val="134"/>
    </font>
    <font>
      <b/>
      <sz val="11"/>
      <color rgb="FF0070C0"/>
      <name val="Arial Narrow"/>
      <charset val="134"/>
    </font>
    <font>
      <b/>
      <sz val="7"/>
      <color rgb="FF0070C0"/>
      <name val="Arial Narrow"/>
      <charset val="134"/>
    </font>
    <font>
      <sz val="7"/>
      <color rgb="FF0070C0"/>
      <name val="Arial Narrow"/>
      <charset val="134"/>
    </font>
    <font>
      <b/>
      <sz val="5"/>
      <color rgb="FF0070C0"/>
      <name val="Arial Narrow"/>
      <charset val="134"/>
    </font>
    <font>
      <sz val="5"/>
      <color rgb="FF0070C0"/>
      <name val="Arial Narrow"/>
      <charset val="134"/>
    </font>
    <font>
      <sz val="9"/>
      <color theme="1"/>
      <name val="Courier New"/>
      <charset val="134"/>
    </font>
    <font>
      <sz val="12"/>
      <color rgb="FF0070C0"/>
      <name val="Arial"/>
      <charset val="134"/>
    </font>
    <font>
      <b/>
      <sz val="6"/>
      <color rgb="FFFF0000"/>
      <name val="Arial Narrow"/>
      <charset val="134"/>
    </font>
    <font>
      <sz val="8"/>
      <color rgb="FFFF0000"/>
      <name val="Arial Narrow"/>
      <charset val="134"/>
    </font>
    <font>
      <b/>
      <sz val="11"/>
      <color rgb="FFFF0000"/>
      <name val="Arial Narrow"/>
      <charset val="134"/>
    </font>
    <font>
      <b/>
      <sz val="7"/>
      <color rgb="FFFF0000"/>
      <name val="Arial Narrow"/>
      <charset val="134"/>
    </font>
    <font>
      <sz val="7"/>
      <color rgb="FFFF0000"/>
      <name val="Arial Narrow"/>
      <charset val="134"/>
    </font>
    <font>
      <b/>
      <sz val="5"/>
      <color rgb="FFFF0000"/>
      <name val="Arial Narrow"/>
      <charset val="134"/>
    </font>
    <font>
      <sz val="5"/>
      <color rgb="FFFF0000"/>
      <name val="Arial Narrow"/>
      <charset val="134"/>
    </font>
    <font>
      <sz val="12"/>
      <color rgb="FFFF0000"/>
      <name val="Arial"/>
      <charset val="134"/>
    </font>
    <font>
      <b/>
      <sz val="11"/>
      <color theme="1" tint="0.249977111117893"/>
      <name val="Courier New"/>
      <charset val="134"/>
    </font>
    <font>
      <sz val="24"/>
      <color theme="1"/>
      <name val="Free 3 of 9 Extended"/>
      <charset val="134"/>
    </font>
    <font>
      <b/>
      <sz val="6"/>
      <color rgb="FF00B050"/>
      <name val="Arial Narrow"/>
      <charset val="134"/>
    </font>
    <font>
      <sz val="8"/>
      <color rgb="FF00B050"/>
      <name val="Arial Narrow"/>
      <charset val="134"/>
    </font>
    <font>
      <sz val="11"/>
      <color theme="1" tint="0.249977111117893"/>
      <name val="Courier New"/>
      <charset val="134"/>
    </font>
    <font>
      <b/>
      <sz val="11"/>
      <color rgb="FF00B050"/>
      <name val="Arial Narrow"/>
      <charset val="134"/>
    </font>
    <font>
      <sz val="9"/>
      <color theme="1" tint="0.249977111117893"/>
      <name val="Courier New"/>
      <charset val="134"/>
    </font>
    <font>
      <b/>
      <sz val="7"/>
      <color rgb="FF00B050"/>
      <name val="Arial Narrow"/>
      <charset val="134"/>
    </font>
    <font>
      <sz val="7"/>
      <color rgb="FF00B050"/>
      <name val="Arial Narrow"/>
      <charset val="134"/>
    </font>
    <font>
      <b/>
      <sz val="5"/>
      <color rgb="FF00B050"/>
      <name val="Arial Narrow"/>
      <charset val="134"/>
    </font>
    <font>
      <sz val="5"/>
      <color rgb="FF00B050"/>
      <name val="Arial Narrow"/>
      <charset val="134"/>
    </font>
    <font>
      <b/>
      <sz val="11"/>
      <color rgb="FF00B050"/>
      <name val="Calibri"/>
      <charset val="134"/>
      <scheme val="minor"/>
    </font>
    <font>
      <sz val="12"/>
      <color rgb="FF00B050"/>
      <name val="Arial"/>
      <charset val="134"/>
    </font>
    <font>
      <sz val="11"/>
      <color theme="1"/>
      <name val="Calibri"/>
      <charset val="134"/>
      <scheme val="minor"/>
    </font>
    <font>
      <sz val="9"/>
      <color theme="1" tint="0.249977111117893"/>
      <name val="Courier New"/>
      <family val="3"/>
    </font>
  </fonts>
  <fills count="8">
    <fill>
      <patternFill patternType="none"/>
    </fill>
    <fill>
      <patternFill patternType="gray125"/>
    </fill>
    <fill>
      <patternFill patternType="solid">
        <fgColor theme="0" tint="-0.14996795556505021"/>
        <bgColor indexed="64"/>
      </patternFill>
    </fill>
    <fill>
      <patternFill patternType="solid">
        <fgColor theme="0" tint="-0.34998626667073579"/>
        <bgColor indexed="64"/>
      </patternFill>
    </fill>
    <fill>
      <patternFill patternType="solid">
        <fgColor rgb="FFFFFF66"/>
        <bgColor indexed="64"/>
      </patternFill>
    </fill>
    <fill>
      <patternFill patternType="solid">
        <fgColor rgb="FF0070C0"/>
        <bgColor indexed="64"/>
      </patternFill>
    </fill>
    <fill>
      <patternFill patternType="solid">
        <fgColor rgb="FFFF5050"/>
        <bgColor indexed="64"/>
      </patternFill>
    </fill>
    <fill>
      <patternFill patternType="solid">
        <fgColor theme="9" tint="0.39994506668294322"/>
        <bgColor indexed="64"/>
      </patternFill>
    </fill>
  </fills>
  <borders count="192">
    <border>
      <left/>
      <right/>
      <top/>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style="dotted">
        <color auto="1"/>
      </bottom>
      <diagonal/>
    </border>
    <border>
      <left/>
      <right/>
      <top/>
      <bottom style="dotted">
        <color auto="1"/>
      </bottom>
      <diagonal/>
    </border>
    <border>
      <left/>
      <right style="thin">
        <color auto="1"/>
      </right>
      <top/>
      <bottom style="dotted">
        <color auto="1"/>
      </bottom>
      <diagonal/>
    </border>
    <border>
      <left/>
      <right/>
      <top/>
      <bottom style="thin">
        <color rgb="FFFFFF00"/>
      </bottom>
      <diagonal/>
    </border>
    <border>
      <left style="thin">
        <color rgb="FFFFFF00"/>
      </left>
      <right/>
      <top style="thin">
        <color rgb="FFFFFF00"/>
      </top>
      <bottom/>
      <diagonal/>
    </border>
    <border>
      <left/>
      <right/>
      <top style="thin">
        <color rgb="FFFFFF00"/>
      </top>
      <bottom/>
      <diagonal/>
    </border>
    <border>
      <left/>
      <right style="thin">
        <color rgb="FFFFFF00"/>
      </right>
      <top/>
      <bottom/>
      <diagonal/>
    </border>
    <border>
      <left/>
      <right style="thin">
        <color rgb="FFFFFF00"/>
      </right>
      <top style="thin">
        <color rgb="FFFFFF00"/>
      </top>
      <bottom/>
      <diagonal/>
    </border>
    <border>
      <left style="thin">
        <color rgb="FFFFFF00"/>
      </left>
      <right/>
      <top/>
      <bottom/>
      <diagonal/>
    </border>
    <border>
      <left style="thin">
        <color rgb="FFFFFF00"/>
      </left>
      <right/>
      <top/>
      <bottom style="thin">
        <color rgb="FFFFFF00"/>
      </bottom>
      <diagonal/>
    </border>
    <border>
      <left/>
      <right style="thin">
        <color rgb="FFFFFF00"/>
      </right>
      <top/>
      <bottom style="thin">
        <color rgb="FFFFFF00"/>
      </bottom>
      <diagonal/>
    </border>
    <border>
      <left style="thin">
        <color rgb="FFFFFF00"/>
      </left>
      <right style="thin">
        <color auto="1"/>
      </right>
      <top style="thin">
        <color rgb="FFFFFF00"/>
      </top>
      <bottom style="thin">
        <color rgb="FFFFFF00"/>
      </bottom>
      <diagonal/>
    </border>
    <border>
      <left style="thin">
        <color auto="1"/>
      </left>
      <right style="thin">
        <color auto="1"/>
      </right>
      <top style="thin">
        <color rgb="FFFFFF00"/>
      </top>
      <bottom style="thin">
        <color rgb="FFFFFF00"/>
      </bottom>
      <diagonal/>
    </border>
    <border>
      <left style="thin">
        <color auto="1"/>
      </left>
      <right style="thin">
        <color rgb="FFFFFF00"/>
      </right>
      <top style="thin">
        <color rgb="FFFFFF00"/>
      </top>
      <bottom style="thin">
        <color rgb="FFFFFF00"/>
      </bottom>
      <diagonal/>
    </border>
    <border>
      <left/>
      <right style="thin">
        <color auto="1"/>
      </right>
      <top style="thin">
        <color rgb="FFFFFF00"/>
      </top>
      <bottom style="thin">
        <color auto="1"/>
      </bottom>
      <diagonal/>
    </border>
    <border>
      <left style="thin">
        <color auto="1"/>
      </left>
      <right style="thin">
        <color auto="1"/>
      </right>
      <top style="thin">
        <color rgb="FFFFFF00"/>
      </top>
      <bottom style="thin">
        <color auto="1"/>
      </bottom>
      <diagonal/>
    </border>
    <border>
      <left style="thin">
        <color auto="1"/>
      </left>
      <right style="thin">
        <color rgb="FFFFFF00"/>
      </right>
      <top style="thin">
        <color rgb="FFFFFF00"/>
      </top>
      <bottom style="thin">
        <color auto="1"/>
      </bottom>
      <diagonal/>
    </border>
    <border>
      <left style="thin">
        <color auto="1"/>
      </left>
      <right style="thin">
        <color rgb="FFFFFF00"/>
      </right>
      <top style="thin">
        <color auto="1"/>
      </top>
      <bottom style="thin">
        <color auto="1"/>
      </bottom>
      <diagonal/>
    </border>
    <border>
      <left style="thin">
        <color rgb="FFFFFF00"/>
      </left>
      <right style="thin">
        <color auto="1"/>
      </right>
      <top style="thin">
        <color auto="1"/>
      </top>
      <bottom style="thin">
        <color auto="1"/>
      </bottom>
      <diagonal/>
    </border>
    <border>
      <left style="thin">
        <color rgb="FFFFFF00"/>
      </left>
      <right style="thin">
        <color auto="1"/>
      </right>
      <top style="thin">
        <color auto="1"/>
      </top>
      <bottom style="thin">
        <color rgb="FFFFFF00"/>
      </bottom>
      <diagonal/>
    </border>
    <border>
      <left style="thin">
        <color auto="1"/>
      </left>
      <right style="thin">
        <color auto="1"/>
      </right>
      <top style="thin">
        <color auto="1"/>
      </top>
      <bottom style="thin">
        <color rgb="FFFFFF00"/>
      </bottom>
      <diagonal/>
    </border>
    <border>
      <left style="thin">
        <color auto="1"/>
      </left>
      <right style="thin">
        <color rgb="FFFFFF00"/>
      </right>
      <top style="thin">
        <color auto="1"/>
      </top>
      <bottom style="thin">
        <color rgb="FFFFFF00"/>
      </bottom>
      <diagonal/>
    </border>
    <border>
      <left style="thin">
        <color rgb="FFFFFF00"/>
      </left>
      <right/>
      <top style="thin">
        <color rgb="FFFFFF00"/>
      </top>
      <bottom style="thin">
        <color rgb="FFFFFF00"/>
      </bottom>
      <diagonal/>
    </border>
    <border>
      <left/>
      <right/>
      <top style="thin">
        <color rgb="FFFFFF00"/>
      </top>
      <bottom style="thin">
        <color rgb="FFFFFF00"/>
      </bottom>
      <diagonal/>
    </border>
    <border>
      <left/>
      <right style="thin">
        <color rgb="FFFFFF00"/>
      </right>
      <top style="thin">
        <color rgb="FFFFFF00"/>
      </top>
      <bottom style="thin">
        <color rgb="FFFFFF00"/>
      </bottom>
      <diagonal/>
    </border>
    <border>
      <left style="thin">
        <color rgb="FFFFFF00"/>
      </left>
      <right style="thin">
        <color auto="1"/>
      </right>
      <top style="thin">
        <color rgb="FFFFFF00"/>
      </top>
      <bottom style="thin">
        <color auto="1"/>
      </bottom>
      <diagonal/>
    </border>
    <border>
      <left style="thin">
        <color auto="1"/>
      </left>
      <right/>
      <top style="thin">
        <color rgb="FFFFFF00"/>
      </top>
      <bottom style="thin">
        <color rgb="FFFFFF00"/>
      </bottom>
      <diagonal/>
    </border>
    <border>
      <left style="thin">
        <color rgb="FFFFFF00"/>
      </left>
      <right style="thin">
        <color auto="1"/>
      </right>
      <top style="thin">
        <color auto="1"/>
      </top>
      <bottom/>
      <diagonal/>
    </border>
    <border>
      <left style="thin">
        <color auto="1"/>
      </left>
      <right style="thin">
        <color rgb="FFFFFF00"/>
      </right>
      <top style="thin">
        <color auto="1"/>
      </top>
      <bottom/>
      <diagonal/>
    </border>
    <border>
      <left style="medium">
        <color rgb="FFFFFF00"/>
      </left>
      <right/>
      <top style="medium">
        <color rgb="FFFFFF00"/>
      </top>
      <bottom/>
      <diagonal/>
    </border>
    <border>
      <left/>
      <right/>
      <top style="medium">
        <color rgb="FFFFFF00"/>
      </top>
      <bottom/>
      <diagonal/>
    </border>
    <border>
      <left/>
      <right style="medium">
        <color rgb="FFFFFF00"/>
      </right>
      <top style="medium">
        <color rgb="FFFFFF00"/>
      </top>
      <bottom/>
      <diagonal/>
    </border>
    <border>
      <left style="medium">
        <color rgb="FFFFFF00"/>
      </left>
      <right/>
      <top/>
      <bottom style="medium">
        <color rgb="FFFFFF00"/>
      </bottom>
      <diagonal/>
    </border>
    <border>
      <left/>
      <right/>
      <top/>
      <bottom style="medium">
        <color rgb="FFFFFF00"/>
      </bottom>
      <diagonal/>
    </border>
    <border>
      <left/>
      <right style="medium">
        <color rgb="FFFFFF00"/>
      </right>
      <top/>
      <bottom style="medium">
        <color rgb="FFFFFF00"/>
      </bottom>
      <diagonal/>
    </border>
    <border>
      <left style="thin">
        <color rgb="FFFFFF00"/>
      </left>
      <right style="thin">
        <color rgb="FFFFFF00"/>
      </right>
      <top style="thin">
        <color rgb="FFFFFF00"/>
      </top>
      <bottom/>
      <diagonal/>
    </border>
    <border>
      <left style="thin">
        <color rgb="FFFFFF00"/>
      </left>
      <right style="thin">
        <color rgb="FFFFFF00"/>
      </right>
      <top/>
      <bottom/>
      <diagonal/>
    </border>
    <border>
      <left style="thin">
        <color rgb="FFFFFF00"/>
      </left>
      <right/>
      <top/>
      <bottom style="dotted">
        <color rgb="FFFFFF00"/>
      </bottom>
      <diagonal/>
    </border>
    <border>
      <left/>
      <right/>
      <top/>
      <bottom style="dotted">
        <color rgb="FFFFFF00"/>
      </bottom>
      <diagonal/>
    </border>
    <border>
      <left/>
      <right style="thin">
        <color rgb="FFFFFF00"/>
      </right>
      <top/>
      <bottom style="dotted">
        <color rgb="FFFFFF00"/>
      </bottom>
      <diagonal/>
    </border>
    <border>
      <left/>
      <right style="thin">
        <color rgb="FF0070C0"/>
      </right>
      <top/>
      <bottom/>
      <diagonal/>
    </border>
    <border>
      <left style="thin">
        <color rgb="FF0070C0"/>
      </left>
      <right/>
      <top/>
      <bottom/>
      <diagonal/>
    </border>
    <border>
      <left/>
      <right/>
      <top/>
      <bottom style="thin">
        <color rgb="FF0070C0"/>
      </bottom>
      <diagonal/>
    </border>
    <border>
      <left style="thin">
        <color rgb="FF0070C0"/>
      </left>
      <right/>
      <top style="thin">
        <color rgb="FF0070C0"/>
      </top>
      <bottom/>
      <diagonal/>
    </border>
    <border>
      <left/>
      <right/>
      <top style="thin">
        <color rgb="FF0070C0"/>
      </top>
      <bottom/>
      <diagonal/>
    </border>
    <border>
      <left style="thin">
        <color rgb="FF0070C0"/>
      </left>
      <right style="thin">
        <color rgb="FF0070C0"/>
      </right>
      <top style="thin">
        <color rgb="FF0070C0"/>
      </top>
      <bottom/>
      <diagonal/>
    </border>
    <border>
      <left/>
      <right style="thin">
        <color rgb="FF0070C0"/>
      </right>
      <top style="thin">
        <color rgb="FF0070C0"/>
      </top>
      <bottom/>
      <diagonal/>
    </border>
    <border>
      <left style="thin">
        <color rgb="FF0070C0"/>
      </left>
      <right/>
      <top/>
      <bottom style="thin">
        <color rgb="FF0070C0"/>
      </bottom>
      <diagonal/>
    </border>
    <border>
      <left/>
      <right style="thin">
        <color rgb="FF0070C0"/>
      </right>
      <top/>
      <bottom style="thin">
        <color rgb="FF0070C0"/>
      </bottom>
      <diagonal/>
    </border>
    <border>
      <left style="thin">
        <color rgb="FF0070C0"/>
      </left>
      <right style="thin">
        <color auto="1"/>
      </right>
      <top style="thin">
        <color rgb="FF0070C0"/>
      </top>
      <bottom style="thin">
        <color rgb="FF0070C0"/>
      </bottom>
      <diagonal/>
    </border>
    <border>
      <left style="thin">
        <color auto="1"/>
      </left>
      <right style="thin">
        <color auto="1"/>
      </right>
      <top style="thin">
        <color rgb="FF0070C0"/>
      </top>
      <bottom style="thin">
        <color rgb="FF0070C0"/>
      </bottom>
      <diagonal/>
    </border>
    <border>
      <left style="thin">
        <color auto="1"/>
      </left>
      <right style="thin">
        <color rgb="FF0070C0"/>
      </right>
      <top style="thin">
        <color rgb="FF0070C0"/>
      </top>
      <bottom style="thin">
        <color rgb="FF0070C0"/>
      </bottom>
      <diagonal/>
    </border>
    <border>
      <left style="thin">
        <color rgb="FF0070C0"/>
      </left>
      <right style="thin">
        <color auto="1"/>
      </right>
      <top style="thin">
        <color rgb="FF0070C0"/>
      </top>
      <bottom style="thin">
        <color auto="1"/>
      </bottom>
      <diagonal/>
    </border>
    <border>
      <left style="thin">
        <color auto="1"/>
      </left>
      <right style="thin">
        <color auto="1"/>
      </right>
      <top style="thin">
        <color rgb="FF0070C0"/>
      </top>
      <bottom style="thin">
        <color auto="1"/>
      </bottom>
      <diagonal/>
    </border>
    <border>
      <left style="thin">
        <color auto="1"/>
      </left>
      <right style="thin">
        <color rgb="FF0070C0"/>
      </right>
      <top style="thin">
        <color rgb="FF0070C0"/>
      </top>
      <bottom style="thin">
        <color auto="1"/>
      </bottom>
      <diagonal/>
    </border>
    <border>
      <left style="thin">
        <color rgb="FF0070C0"/>
      </left>
      <right style="thin">
        <color auto="1"/>
      </right>
      <top style="thin">
        <color auto="1"/>
      </top>
      <bottom style="thin">
        <color auto="1"/>
      </bottom>
      <diagonal/>
    </border>
    <border>
      <left style="thin">
        <color auto="1"/>
      </left>
      <right style="thin">
        <color rgb="FF0070C0"/>
      </right>
      <top style="thin">
        <color auto="1"/>
      </top>
      <bottom style="thin">
        <color auto="1"/>
      </bottom>
      <diagonal/>
    </border>
    <border>
      <left style="thin">
        <color rgb="FF0070C0"/>
      </left>
      <right style="thin">
        <color auto="1"/>
      </right>
      <top style="thin">
        <color auto="1"/>
      </top>
      <bottom style="thin">
        <color rgb="FF0070C0"/>
      </bottom>
      <diagonal/>
    </border>
    <border>
      <left style="thin">
        <color auto="1"/>
      </left>
      <right style="thin">
        <color auto="1"/>
      </right>
      <top style="thin">
        <color auto="1"/>
      </top>
      <bottom style="thin">
        <color rgb="FF0070C0"/>
      </bottom>
      <diagonal/>
    </border>
    <border>
      <left style="thin">
        <color auto="1"/>
      </left>
      <right style="thin">
        <color rgb="FF0070C0"/>
      </right>
      <top style="thin">
        <color auto="1"/>
      </top>
      <bottom style="thin">
        <color rgb="FF0070C0"/>
      </bottom>
      <diagonal/>
    </border>
    <border>
      <left/>
      <right style="thin">
        <color auto="1"/>
      </right>
      <top style="thin">
        <color rgb="FF0070C0"/>
      </top>
      <bottom style="thin">
        <color auto="1"/>
      </bottom>
      <diagonal/>
    </border>
    <border>
      <left/>
      <right style="thin">
        <color auto="1"/>
      </right>
      <top style="thin">
        <color auto="1"/>
      </top>
      <bottom style="thin">
        <color rgb="FF0070C0"/>
      </bottom>
      <diagonal/>
    </border>
    <border>
      <left style="thin">
        <color rgb="FF0070C0"/>
      </left>
      <right style="thin">
        <color auto="1"/>
      </right>
      <top style="thin">
        <color auto="1"/>
      </top>
      <bottom/>
      <diagonal/>
    </border>
    <border>
      <left style="thin">
        <color auto="1"/>
      </left>
      <right style="thin">
        <color rgb="FF0070C0"/>
      </right>
      <top style="thin">
        <color auto="1"/>
      </top>
      <bottom/>
      <diagonal/>
    </border>
    <border>
      <left/>
      <right style="thin">
        <color auto="1"/>
      </right>
      <top/>
      <bottom style="thin">
        <color rgb="FF0070C0"/>
      </bottom>
      <diagonal/>
    </border>
    <border>
      <left style="thin">
        <color auto="1"/>
      </left>
      <right style="thin">
        <color rgb="FF0070C0"/>
      </right>
      <top/>
      <bottom style="thin">
        <color rgb="FF0070C0"/>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rgb="FF0070C0"/>
      </left>
      <right style="thin">
        <color auto="1"/>
      </right>
      <top style="thin">
        <color rgb="FF0070C0"/>
      </top>
      <bottom/>
      <diagonal/>
    </border>
    <border>
      <left style="thin">
        <color auto="1"/>
      </left>
      <right style="thin">
        <color auto="1"/>
      </right>
      <top style="thin">
        <color rgb="FF0070C0"/>
      </top>
      <bottom/>
      <diagonal/>
    </border>
    <border>
      <left style="thin">
        <color auto="1"/>
      </left>
      <right/>
      <top style="thin">
        <color rgb="FF0070C0"/>
      </top>
      <bottom/>
      <diagonal/>
    </border>
    <border>
      <left style="thin">
        <color auto="1"/>
      </left>
      <right/>
      <top style="thin">
        <color rgb="FF0070C0"/>
      </top>
      <bottom style="thin">
        <color auto="1"/>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style="thin">
        <color rgb="FF0070C0"/>
      </left>
      <right style="thin">
        <color rgb="FF0070C0"/>
      </right>
      <top/>
      <bottom/>
      <diagonal/>
    </border>
    <border>
      <left style="thin">
        <color auto="1"/>
      </left>
      <right/>
      <top style="thin">
        <color auto="1"/>
      </top>
      <bottom style="thin">
        <color rgb="FF0070C0"/>
      </bottom>
      <diagonal/>
    </border>
    <border>
      <left style="thin">
        <color rgb="FF0070C0"/>
      </left>
      <right style="thin">
        <color rgb="FF0070C0"/>
      </right>
      <top/>
      <bottom style="thin">
        <color rgb="FF0070C0"/>
      </bottom>
      <diagonal/>
    </border>
    <border>
      <left/>
      <right style="thin">
        <color rgb="FF0070C0"/>
      </right>
      <top style="thin">
        <color rgb="FF0070C0"/>
      </top>
      <bottom style="thin">
        <color rgb="FF0070C0"/>
      </bottom>
      <diagonal/>
    </border>
    <border>
      <left style="thin">
        <color rgb="FF0070C0"/>
      </left>
      <right/>
      <top/>
      <bottom style="dotted">
        <color auto="1"/>
      </bottom>
      <diagonal/>
    </border>
    <border>
      <left/>
      <right style="thin">
        <color rgb="FF0070C0"/>
      </right>
      <top/>
      <bottom style="dotted">
        <color auto="1"/>
      </bottom>
      <diagonal/>
    </border>
    <border>
      <left style="thin">
        <color rgb="FFFF0000"/>
      </left>
      <right/>
      <top/>
      <bottom/>
      <diagonal/>
    </border>
    <border>
      <left/>
      <right style="thin">
        <color rgb="FFFF0000"/>
      </right>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right/>
      <top/>
      <bottom style="thin">
        <color rgb="FFFF0000"/>
      </bottom>
      <diagonal/>
    </border>
    <border>
      <left/>
      <right style="thin">
        <color rgb="FFFF0000"/>
      </right>
      <top/>
      <bottom style="thin">
        <color rgb="FFFF0000"/>
      </bottom>
      <diagonal/>
    </border>
    <border>
      <left style="thin">
        <color rgb="FFFF0000"/>
      </left>
      <right/>
      <top/>
      <bottom style="thin">
        <color rgb="FFFF0000"/>
      </bottom>
      <diagonal/>
    </border>
    <border>
      <left/>
      <right style="thin">
        <color auto="1"/>
      </right>
      <top style="thin">
        <color rgb="FFFF0000"/>
      </top>
      <bottom style="thin">
        <color rgb="FFFF0000"/>
      </bottom>
      <diagonal/>
    </border>
    <border>
      <left style="thin">
        <color auto="1"/>
      </left>
      <right style="thin">
        <color auto="1"/>
      </right>
      <top style="thin">
        <color rgb="FFFF0000"/>
      </top>
      <bottom style="thin">
        <color rgb="FFFF0000"/>
      </bottom>
      <diagonal/>
    </border>
    <border>
      <left style="thin">
        <color auto="1"/>
      </left>
      <right style="thin">
        <color rgb="FFFF0000"/>
      </right>
      <top style="thin">
        <color rgb="FFFF0000"/>
      </top>
      <bottom style="thin">
        <color rgb="FFFF0000"/>
      </bottom>
      <diagonal/>
    </border>
    <border>
      <left/>
      <right style="thin">
        <color auto="1"/>
      </right>
      <top style="thin">
        <color rgb="FFFF0000"/>
      </top>
      <bottom style="thin">
        <color auto="1"/>
      </bottom>
      <diagonal/>
    </border>
    <border>
      <left style="thin">
        <color auto="1"/>
      </left>
      <right style="thin">
        <color auto="1"/>
      </right>
      <top style="thin">
        <color rgb="FFFF0000"/>
      </top>
      <bottom style="thin">
        <color auto="1"/>
      </bottom>
      <diagonal/>
    </border>
    <border>
      <left style="thin">
        <color auto="1"/>
      </left>
      <right style="thin">
        <color rgb="FFFF0000"/>
      </right>
      <top style="thin">
        <color rgb="FFFF0000"/>
      </top>
      <bottom style="thin">
        <color auto="1"/>
      </bottom>
      <diagonal/>
    </border>
    <border>
      <left style="thin">
        <color auto="1"/>
      </left>
      <right style="thin">
        <color rgb="FFFF0000"/>
      </right>
      <top style="thin">
        <color auto="1"/>
      </top>
      <bottom style="thin">
        <color auto="1"/>
      </bottom>
      <diagonal/>
    </border>
    <border>
      <left/>
      <right style="thin">
        <color auto="1"/>
      </right>
      <top style="thin">
        <color auto="1"/>
      </top>
      <bottom style="thin">
        <color rgb="FFFF0000"/>
      </bottom>
      <diagonal/>
    </border>
    <border>
      <left style="thin">
        <color auto="1"/>
      </left>
      <right style="thin">
        <color auto="1"/>
      </right>
      <top style="thin">
        <color auto="1"/>
      </top>
      <bottom style="thin">
        <color rgb="FFFF0000"/>
      </bottom>
      <diagonal/>
    </border>
    <border>
      <left style="thin">
        <color auto="1"/>
      </left>
      <right style="thin">
        <color rgb="FFFF0000"/>
      </right>
      <top style="thin">
        <color auto="1"/>
      </top>
      <bottom style="thin">
        <color rgb="FFFF0000"/>
      </bottom>
      <diagonal/>
    </border>
    <border>
      <left style="thin">
        <color rgb="FFFF0000"/>
      </left>
      <right style="thin">
        <color auto="1"/>
      </right>
      <top style="thin">
        <color rgb="FFFF0000"/>
      </top>
      <bottom style="thin">
        <color auto="1"/>
      </bottom>
      <diagonal/>
    </border>
    <border>
      <left style="thin">
        <color auto="1"/>
      </left>
      <right/>
      <top style="thin">
        <color rgb="FFFF0000"/>
      </top>
      <bottom style="thin">
        <color auto="1"/>
      </bottom>
      <diagonal/>
    </border>
    <border>
      <left style="thin">
        <color rgb="FFFF0000"/>
      </left>
      <right style="thin">
        <color auto="1"/>
      </right>
      <top style="thin">
        <color auto="1"/>
      </top>
      <bottom style="thin">
        <color rgb="FFFF0000"/>
      </bottom>
      <diagonal/>
    </border>
    <border>
      <left style="thin">
        <color auto="1"/>
      </left>
      <right/>
      <top style="thin">
        <color auto="1"/>
      </top>
      <bottom style="thin">
        <color rgb="FFFF0000"/>
      </bottom>
      <diagonal/>
    </border>
    <border>
      <left style="thin">
        <color rgb="FFFF0000"/>
      </left>
      <right style="thin">
        <color auto="1"/>
      </right>
      <top style="thin">
        <color rgb="FFFF0000"/>
      </top>
      <bottom style="thin">
        <color rgb="FFFF0000"/>
      </bottom>
      <diagonal/>
    </border>
    <border>
      <left style="thin">
        <color rgb="FFFF0000"/>
      </left>
      <right style="thin">
        <color auto="1"/>
      </right>
      <top style="thin">
        <color auto="1"/>
      </top>
      <bottom/>
      <diagonal/>
    </border>
    <border>
      <left style="thin">
        <color auto="1"/>
      </left>
      <right style="thin">
        <color rgb="FFFF0000"/>
      </right>
      <top style="thin">
        <color auto="1"/>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rgb="FFFF0000"/>
      </left>
      <right style="thin">
        <color rgb="FFFF0000"/>
      </right>
      <top style="thin">
        <color rgb="FFFF0000"/>
      </top>
      <bottom/>
      <diagonal/>
    </border>
    <border>
      <left style="thin">
        <color rgb="FFFF0000"/>
      </left>
      <right style="thin">
        <color auto="1"/>
      </right>
      <top style="thin">
        <color rgb="FFFF0000"/>
      </top>
      <bottom/>
      <diagonal/>
    </border>
    <border>
      <left style="thin">
        <color auto="1"/>
      </left>
      <right style="thin">
        <color auto="1"/>
      </right>
      <top style="thin">
        <color rgb="FFFF0000"/>
      </top>
      <bottom/>
      <diagonal/>
    </border>
    <border>
      <left style="thin">
        <color auto="1"/>
      </left>
      <right style="thin">
        <color rgb="FFFF0000"/>
      </right>
      <top style="thin">
        <color rgb="FFFF0000"/>
      </top>
      <bottom/>
      <diagonal/>
    </border>
    <border>
      <left style="thin">
        <color rgb="FFFF0000"/>
      </left>
      <right style="thin">
        <color rgb="FFFF0000"/>
      </right>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FF0000"/>
      </left>
      <right style="thin">
        <color rgb="FFFF0000"/>
      </right>
      <top/>
      <bottom/>
      <diagonal/>
    </border>
    <border>
      <left style="thin">
        <color rgb="FFFF0000"/>
      </left>
      <right/>
      <top/>
      <bottom style="dotted">
        <color rgb="FFFF0000"/>
      </bottom>
      <diagonal/>
    </border>
    <border>
      <left/>
      <right/>
      <top/>
      <bottom style="dotted">
        <color rgb="FFFF0000"/>
      </bottom>
      <diagonal/>
    </border>
    <border>
      <left/>
      <right style="thin">
        <color rgb="FFFF0000"/>
      </right>
      <top/>
      <bottom style="dotted">
        <color rgb="FFFF0000"/>
      </bottom>
      <diagonal/>
    </border>
    <border>
      <left/>
      <right/>
      <top/>
      <bottom style="thin">
        <color rgb="FF00B050"/>
      </bottom>
      <diagonal/>
    </border>
    <border>
      <left style="thin">
        <color rgb="FF00B050"/>
      </left>
      <right/>
      <top/>
      <bottom/>
      <diagonal/>
    </border>
    <border>
      <left/>
      <right style="thin">
        <color rgb="FF00B050"/>
      </right>
      <top/>
      <bottom/>
      <diagonal/>
    </border>
    <border>
      <left/>
      <right/>
      <top style="thin">
        <color rgb="FF00B050"/>
      </top>
      <bottom/>
      <diagonal/>
    </border>
    <border>
      <left/>
      <right style="thin">
        <color rgb="FF00B050"/>
      </right>
      <top style="thin">
        <color rgb="FF00B050"/>
      </top>
      <bottom/>
      <diagonal/>
    </border>
    <border>
      <left/>
      <right style="thin">
        <color rgb="FF00B050"/>
      </right>
      <top/>
      <bottom style="thin">
        <color rgb="FF00B050"/>
      </bottom>
      <diagonal/>
    </border>
    <border>
      <left style="thin">
        <color rgb="FF00B050"/>
      </left>
      <right/>
      <top/>
      <bottom style="thin">
        <color rgb="FF00B050"/>
      </bottom>
      <diagonal/>
    </border>
    <border>
      <left/>
      <right style="thin">
        <color auto="1"/>
      </right>
      <top style="thin">
        <color rgb="FF00B050"/>
      </top>
      <bottom style="thin">
        <color rgb="FF00B050"/>
      </bottom>
      <diagonal/>
    </border>
    <border>
      <left style="thin">
        <color auto="1"/>
      </left>
      <right style="thin">
        <color auto="1"/>
      </right>
      <top style="thin">
        <color rgb="FF00B050"/>
      </top>
      <bottom style="thin">
        <color rgb="FF00B050"/>
      </bottom>
      <diagonal/>
    </border>
    <border>
      <left style="thin">
        <color auto="1"/>
      </left>
      <right style="thin">
        <color rgb="FF00B050"/>
      </right>
      <top style="thin">
        <color rgb="FF00B050"/>
      </top>
      <bottom style="thin">
        <color rgb="FF00B050"/>
      </bottom>
      <diagonal/>
    </border>
    <border>
      <left/>
      <right style="thin">
        <color auto="1"/>
      </right>
      <top style="thin">
        <color rgb="FF00B050"/>
      </top>
      <bottom style="thin">
        <color auto="1"/>
      </bottom>
      <diagonal/>
    </border>
    <border>
      <left style="thin">
        <color auto="1"/>
      </left>
      <right style="thin">
        <color auto="1"/>
      </right>
      <top style="thin">
        <color rgb="FF00B050"/>
      </top>
      <bottom style="thin">
        <color auto="1"/>
      </bottom>
      <diagonal/>
    </border>
    <border>
      <left style="thin">
        <color auto="1"/>
      </left>
      <right style="thin">
        <color rgb="FF00B050"/>
      </right>
      <top style="thin">
        <color rgb="FF00B050"/>
      </top>
      <bottom style="thin">
        <color auto="1"/>
      </bottom>
      <diagonal/>
    </border>
    <border>
      <left style="thin">
        <color auto="1"/>
      </left>
      <right style="thin">
        <color rgb="FF00B050"/>
      </right>
      <top style="thin">
        <color auto="1"/>
      </top>
      <bottom style="thin">
        <color auto="1"/>
      </bottom>
      <diagonal/>
    </border>
    <border>
      <left/>
      <right style="thin">
        <color auto="1"/>
      </right>
      <top style="thin">
        <color auto="1"/>
      </top>
      <bottom style="thin">
        <color rgb="FF00B050"/>
      </bottom>
      <diagonal/>
    </border>
    <border>
      <left style="thin">
        <color auto="1"/>
      </left>
      <right style="thin">
        <color auto="1"/>
      </right>
      <top style="thin">
        <color auto="1"/>
      </top>
      <bottom style="thin">
        <color rgb="FF00B050"/>
      </bottom>
      <diagonal/>
    </border>
    <border>
      <left style="thin">
        <color auto="1"/>
      </left>
      <right style="thin">
        <color rgb="FF00B050"/>
      </right>
      <top style="thin">
        <color auto="1"/>
      </top>
      <bottom style="thin">
        <color rgb="FF00B050"/>
      </bottom>
      <diagonal/>
    </border>
    <border>
      <left style="thin">
        <color rgb="FF00B050"/>
      </left>
      <right/>
      <top style="thin">
        <color rgb="FF00B050"/>
      </top>
      <bottom/>
      <diagonal/>
    </border>
    <border>
      <left style="thin">
        <color rgb="FF00B050"/>
      </left>
      <right style="thin">
        <color auto="1"/>
      </right>
      <top style="thin">
        <color rgb="FF00B050"/>
      </top>
      <bottom style="thin">
        <color auto="1"/>
      </bottom>
      <diagonal/>
    </border>
    <border>
      <left style="thin">
        <color rgb="FF00B050"/>
      </left>
      <right style="thin">
        <color auto="1"/>
      </right>
      <top style="thin">
        <color auto="1"/>
      </top>
      <bottom style="thin">
        <color rgb="FF00B050"/>
      </bottom>
      <diagonal/>
    </border>
    <border>
      <left style="thin">
        <color rgb="FF00B050"/>
      </left>
      <right style="thin">
        <color auto="1"/>
      </right>
      <top style="thin">
        <color rgb="FF00B050"/>
      </top>
      <bottom style="thin">
        <color rgb="FF00B050"/>
      </bottom>
      <diagonal/>
    </border>
    <border>
      <left style="thin">
        <color rgb="FF00B050"/>
      </left>
      <right style="thin">
        <color auto="1"/>
      </right>
      <top style="thin">
        <color auto="1"/>
      </top>
      <bottom/>
      <diagonal/>
    </border>
    <border>
      <left style="thin">
        <color auto="1"/>
      </left>
      <right style="thin">
        <color rgb="FF00B050"/>
      </right>
      <top style="thin">
        <color auto="1"/>
      </top>
      <bottom/>
      <diagonal/>
    </border>
    <border>
      <left style="thin">
        <color rgb="FF00B050"/>
      </left>
      <right style="thin">
        <color auto="1"/>
      </right>
      <top style="thin">
        <color rgb="FF00B050"/>
      </top>
      <bottom/>
      <diagonal/>
    </border>
    <border>
      <left style="thin">
        <color auto="1"/>
      </left>
      <right style="thin">
        <color rgb="FF00B050"/>
      </right>
      <top style="thin">
        <color rgb="FF00B050"/>
      </top>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right style="thin">
        <color rgb="FF92D050"/>
      </right>
      <top style="thin">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style="thin">
        <color rgb="FF00B050"/>
      </bottom>
      <diagonal/>
    </border>
    <border>
      <left/>
      <right style="thin">
        <color rgb="FF92D050"/>
      </right>
      <top/>
      <bottom style="thin">
        <color rgb="FF00B050"/>
      </bottom>
      <diagonal/>
    </border>
    <border>
      <left style="thin">
        <color rgb="FF92D050"/>
      </left>
      <right/>
      <top/>
      <bottom style="thin">
        <color rgb="FF00B050"/>
      </bottom>
      <diagonal/>
    </border>
    <border>
      <left style="thin">
        <color rgb="FF00B050"/>
      </left>
      <right style="thin">
        <color rgb="FF00B050"/>
      </right>
      <top style="thin">
        <color rgb="FF00B050"/>
      </top>
      <bottom/>
      <diagonal/>
    </border>
    <border>
      <left style="thin">
        <color rgb="FF00B050"/>
      </left>
      <right style="thin">
        <color rgb="FF00B050"/>
      </right>
      <top/>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style="thin">
        <color rgb="FF00B050"/>
      </left>
      <right/>
      <top/>
      <bottom style="dotted">
        <color rgb="FF00B050"/>
      </bottom>
      <diagonal/>
    </border>
    <border>
      <left/>
      <right/>
      <top/>
      <bottom style="dotted">
        <color rgb="FF00B050"/>
      </bottom>
      <diagonal/>
    </border>
    <border>
      <left/>
      <right style="thin">
        <color rgb="FF00B050"/>
      </right>
      <top/>
      <bottom style="dotted">
        <color rgb="FF00B050"/>
      </bottom>
      <diagonal/>
    </border>
    <border>
      <left style="thin">
        <color rgb="FF00B050"/>
      </left>
      <right style="thin">
        <color auto="1"/>
      </right>
      <top/>
      <bottom style="thin">
        <color auto="1"/>
      </bottom>
      <diagonal/>
    </border>
    <border>
      <left style="thin">
        <color auto="1"/>
      </left>
      <right style="thin">
        <color rgb="FF00B050"/>
      </right>
      <top/>
      <bottom style="thin">
        <color auto="1"/>
      </bottom>
      <diagonal/>
    </border>
  </borders>
  <cellStyleXfs count="2">
    <xf numFmtId="0" fontId="0" fillId="0" borderId="0"/>
    <xf numFmtId="43" fontId="67" fillId="0" borderId="0" applyFont="0" applyFill="0" applyBorder="0" applyAlignment="0" applyProtection="0"/>
  </cellStyleXfs>
  <cellXfs count="1410">
    <xf numFmtId="0" fontId="0" fillId="0" borderId="0" xfId="0"/>
    <xf numFmtId="0" fontId="3" fillId="0" borderId="6" xfId="0"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0" fontId="4" fillId="0" borderId="7" xfId="0" applyFont="1" applyBorder="1" applyAlignment="1">
      <alignment horizontal="left" vertical="top"/>
    </xf>
    <xf numFmtId="0" fontId="6" fillId="0" borderId="3" xfId="0" applyFont="1" applyBorder="1" applyAlignment="1">
      <alignment vertical="center"/>
    </xf>
    <xf numFmtId="0" fontId="7" fillId="0" borderId="0" xfId="0" applyFont="1" applyAlignment="1">
      <alignment vertical="center"/>
    </xf>
    <xf numFmtId="0" fontId="3" fillId="0" borderId="5" xfId="0" applyFont="1" applyBorder="1" applyAlignment="1">
      <alignment vertical="top"/>
    </xf>
    <xf numFmtId="0" fontId="3" fillId="0" borderId="1" xfId="0" applyFont="1" applyBorder="1" applyAlignment="1">
      <alignment vertical="top"/>
    </xf>
    <xf numFmtId="0" fontId="3" fillId="0" borderId="2" xfId="0" applyFont="1" applyBorder="1" applyAlignment="1">
      <alignment vertical="top"/>
    </xf>
    <xf numFmtId="0" fontId="8" fillId="0" borderId="0" xfId="0" applyFont="1" applyAlignment="1">
      <alignment horizontal="left" vertical="top"/>
    </xf>
    <xf numFmtId="0" fontId="4" fillId="0" borderId="0" xfId="0" applyFont="1" applyAlignment="1">
      <alignment horizontal="left" vertical="top"/>
    </xf>
    <xf numFmtId="0" fontId="4" fillId="0" borderId="3" xfId="0" applyFont="1" applyBorder="1" applyAlignment="1">
      <alignment horizontal="left" vertical="top"/>
    </xf>
    <xf numFmtId="0" fontId="4" fillId="0" borderId="5" xfId="0" applyFont="1" applyBorder="1" applyAlignment="1">
      <alignment horizontal="left" vertical="top"/>
    </xf>
    <xf numFmtId="0" fontId="4" fillId="0" borderId="1" xfId="0" applyFont="1" applyBorder="1" applyAlignment="1">
      <alignment horizontal="left" vertical="top"/>
    </xf>
    <xf numFmtId="0" fontId="12" fillId="0" borderId="0" xfId="0" applyFont="1" applyAlignment="1">
      <alignment horizontal="left" vertical="top"/>
    </xf>
    <xf numFmtId="0" fontId="15" fillId="2" borderId="0" xfId="0" applyFont="1" applyFill="1" applyAlignment="1">
      <alignment vertical="top"/>
    </xf>
    <xf numFmtId="0" fontId="15" fillId="2" borderId="4" xfId="0" applyFont="1" applyFill="1" applyBorder="1" applyAlignment="1">
      <alignment vertical="top"/>
    </xf>
    <xf numFmtId="0" fontId="6" fillId="0" borderId="3" xfId="0" applyFont="1" applyBorder="1" applyAlignment="1">
      <alignment vertical="top"/>
    </xf>
    <xf numFmtId="0" fontId="6" fillId="0" borderId="0" xfId="0" applyFont="1" applyAlignment="1">
      <alignment vertical="top"/>
    </xf>
    <xf numFmtId="0" fontId="6" fillId="0" borderId="4" xfId="0" applyFont="1" applyBorder="1" applyAlignment="1">
      <alignment vertical="top"/>
    </xf>
    <xf numFmtId="0" fontId="6" fillId="0" borderId="5" xfId="0" applyFont="1" applyBorder="1" applyAlignment="1">
      <alignment vertical="top"/>
    </xf>
    <xf numFmtId="0" fontId="6" fillId="0" borderId="1" xfId="0" applyFont="1" applyBorder="1" applyAlignment="1">
      <alignment vertical="top"/>
    </xf>
    <xf numFmtId="0" fontId="6" fillId="0" borderId="2" xfId="0" applyFont="1" applyBorder="1" applyAlignment="1">
      <alignment vertical="top"/>
    </xf>
    <xf numFmtId="0" fontId="3" fillId="0" borderId="3" xfId="0" applyFont="1" applyBorder="1"/>
    <xf numFmtId="0" fontId="16" fillId="0" borderId="0" xfId="0" applyFont="1"/>
    <xf numFmtId="0" fontId="16" fillId="0" borderId="4" xfId="0" applyFont="1" applyBorder="1"/>
    <xf numFmtId="0" fontId="16" fillId="0" borderId="9" xfId="0" applyFont="1" applyBorder="1" applyAlignment="1">
      <alignment horizontal="center"/>
    </xf>
    <xf numFmtId="0" fontId="16" fillId="0" borderId="5" xfId="0" applyFont="1" applyBorder="1"/>
    <xf numFmtId="0" fontId="16" fillId="0" borderId="1" xfId="0" applyFont="1" applyBorder="1"/>
    <xf numFmtId="0" fontId="3" fillId="0" borderId="1" xfId="0" applyFont="1" applyBorder="1"/>
    <xf numFmtId="0" fontId="16" fillId="0" borderId="2" xfId="0" applyFont="1" applyBorder="1"/>
    <xf numFmtId="0" fontId="19" fillId="0" borderId="7" xfId="0" applyFont="1" applyBorder="1"/>
    <xf numFmtId="0" fontId="19" fillId="0" borderId="8" xfId="0" applyFont="1" applyBorder="1"/>
    <xf numFmtId="0" fontId="19" fillId="0" borderId="1" xfId="0" applyFont="1" applyBorder="1"/>
    <xf numFmtId="0" fontId="19" fillId="0" borderId="2" xfId="0" applyFont="1" applyBorder="1"/>
    <xf numFmtId="0" fontId="19" fillId="0" borderId="5" xfId="0" applyFont="1" applyBorder="1" applyAlignment="1">
      <alignment vertical="top"/>
    </xf>
    <xf numFmtId="0" fontId="19" fillId="0" borderId="6" xfId="0" applyFont="1" applyBorder="1"/>
    <xf numFmtId="0" fontId="19" fillId="0" borderId="0" xfId="0" applyFont="1"/>
    <xf numFmtId="0" fontId="19" fillId="0" borderId="4" xfId="0" applyFont="1" applyBorder="1"/>
    <xf numFmtId="0" fontId="19" fillId="0" borderId="5" xfId="0" applyFont="1" applyBorder="1"/>
    <xf numFmtId="0" fontId="19" fillId="0" borderId="7" xfId="0" applyFont="1" applyBorder="1" applyAlignment="1">
      <alignment vertical="center"/>
    </xf>
    <xf numFmtId="0" fontId="19" fillId="0" borderId="8" xfId="0" applyFont="1" applyBorder="1" applyAlignment="1">
      <alignment vertical="center"/>
    </xf>
    <xf numFmtId="0" fontId="19" fillId="0" borderId="0" xfId="0" applyFont="1" applyAlignment="1">
      <alignment vertical="center"/>
    </xf>
    <xf numFmtId="0" fontId="19" fillId="3" borderId="6" xfId="0" applyFont="1" applyFill="1" applyBorder="1"/>
    <xf numFmtId="0" fontId="19" fillId="3" borderId="7" xfId="0" applyFont="1" applyFill="1" applyBorder="1"/>
    <xf numFmtId="0" fontId="0" fillId="3" borderId="7" xfId="0" applyFill="1" applyBorder="1"/>
    <xf numFmtId="0" fontId="0" fillId="3" borderId="8" xfId="0" applyFill="1" applyBorder="1"/>
    <xf numFmtId="0" fontId="0" fillId="3" borderId="6" xfId="0" applyFill="1" applyBorder="1"/>
    <xf numFmtId="0" fontId="19" fillId="3" borderId="5" xfId="0" applyFont="1" applyFill="1" applyBorder="1"/>
    <xf numFmtId="0" fontId="19" fillId="3" borderId="1" xfId="0" applyFont="1" applyFill="1" applyBorder="1"/>
    <xf numFmtId="0" fontId="19" fillId="3" borderId="2" xfId="0" applyFont="1" applyFill="1" applyBorder="1"/>
    <xf numFmtId="0" fontId="19" fillId="0" borderId="3" xfId="0" applyFont="1" applyBorder="1"/>
    <xf numFmtId="0" fontId="20" fillId="0" borderId="21" xfId="0" applyFont="1" applyBorder="1"/>
    <xf numFmtId="0" fontId="20" fillId="0" borderId="22" xfId="0" applyFont="1" applyBorder="1"/>
    <xf numFmtId="0" fontId="19" fillId="0" borderId="22" xfId="0" applyFont="1" applyBorder="1"/>
    <xf numFmtId="0" fontId="19" fillId="0" borderId="23" xfId="0" applyFont="1" applyBorder="1"/>
    <xf numFmtId="0" fontId="22" fillId="0" borderId="1" xfId="0" applyFont="1" applyBorder="1"/>
    <xf numFmtId="0" fontId="19" fillId="0" borderId="21" xfId="0" applyFont="1" applyBorder="1"/>
    <xf numFmtId="0" fontId="1" fillId="0" borderId="0" xfId="0" applyFont="1" applyAlignment="1">
      <alignment horizontal="left" vertical="top"/>
    </xf>
    <xf numFmtId="0" fontId="0" fillId="0" borderId="24" xfId="0" applyBorder="1"/>
    <xf numFmtId="0" fontId="27" fillId="0" borderId="25" xfId="0" applyFont="1" applyBorder="1" applyAlignment="1">
      <alignment vertical="top"/>
    </xf>
    <xf numFmtId="0" fontId="3" fillId="0" borderId="26" xfId="0" applyFont="1" applyBorder="1" applyAlignment="1">
      <alignment vertical="top"/>
    </xf>
    <xf numFmtId="0" fontId="27" fillId="0" borderId="0" xfId="0" applyFont="1" applyAlignment="1">
      <alignment vertical="top"/>
    </xf>
    <xf numFmtId="0" fontId="3" fillId="0" borderId="0" xfId="0" applyFont="1" applyAlignment="1">
      <alignment vertical="top"/>
    </xf>
    <xf numFmtId="0" fontId="3" fillId="0" borderId="27" xfId="0" applyFont="1" applyBorder="1" applyAlignment="1">
      <alignment vertical="top"/>
    </xf>
    <xf numFmtId="0" fontId="28" fillId="0" borderId="26" xfId="0" applyFont="1" applyBorder="1" applyAlignment="1">
      <alignment horizontal="left" vertical="top"/>
    </xf>
    <xf numFmtId="0" fontId="4" fillId="0" borderId="26" xfId="0" applyFont="1" applyBorder="1" applyAlignment="1">
      <alignment horizontal="left" vertical="top"/>
    </xf>
    <xf numFmtId="0" fontId="6" fillId="0" borderId="29" xfId="0" applyFont="1" applyBorder="1" applyAlignment="1">
      <alignment vertical="center"/>
    </xf>
    <xf numFmtId="0" fontId="29" fillId="0" borderId="0" xfId="0" applyFont="1" applyAlignment="1">
      <alignment vertical="center"/>
    </xf>
    <xf numFmtId="0" fontId="30" fillId="0" borderId="0" xfId="0" applyFont="1" applyAlignment="1">
      <alignment horizontal="left" vertical="top"/>
    </xf>
    <xf numFmtId="0" fontId="28" fillId="0" borderId="29" xfId="0" applyFont="1" applyBorder="1" applyAlignment="1">
      <alignment horizontal="left" vertical="top"/>
    </xf>
    <xf numFmtId="0" fontId="4" fillId="0" borderId="30" xfId="0" applyFont="1" applyBorder="1" applyAlignment="1">
      <alignment horizontal="left" vertical="top"/>
    </xf>
    <xf numFmtId="0" fontId="4" fillId="0" borderId="24" xfId="0" applyFont="1" applyBorder="1" applyAlignment="1">
      <alignment horizontal="left" vertical="top"/>
    </xf>
    <xf numFmtId="0" fontId="27" fillId="0" borderId="27" xfId="0" applyFont="1" applyBorder="1" applyAlignment="1">
      <alignment vertical="top"/>
    </xf>
    <xf numFmtId="0" fontId="27" fillId="0" borderId="26" xfId="0" applyFont="1" applyBorder="1" applyAlignment="1">
      <alignment vertical="center"/>
    </xf>
    <xf numFmtId="0" fontId="27" fillId="0" borderId="25" xfId="0" applyFont="1" applyBorder="1" applyAlignment="1">
      <alignment vertical="center"/>
    </xf>
    <xf numFmtId="0" fontId="15" fillId="0" borderId="0" xfId="0" applyFont="1" applyAlignment="1">
      <alignment vertical="top"/>
    </xf>
    <xf numFmtId="0" fontId="27" fillId="0" borderId="25" xfId="0" applyFont="1" applyBorder="1"/>
    <xf numFmtId="0" fontId="35" fillId="0" borderId="26" xfId="0" applyFont="1" applyBorder="1"/>
    <xf numFmtId="0" fontId="16" fillId="0" borderId="28" xfId="0" applyFont="1" applyBorder="1"/>
    <xf numFmtId="0" fontId="35" fillId="0" borderId="30" xfId="0" applyFont="1" applyBorder="1"/>
    <xf numFmtId="0" fontId="35" fillId="0" borderId="24" xfId="0" applyFont="1" applyBorder="1"/>
    <xf numFmtId="0" fontId="27" fillId="0" borderId="24" xfId="0" applyFont="1" applyBorder="1"/>
    <xf numFmtId="0" fontId="16" fillId="0" borderId="31" xfId="0" applyFont="1" applyBorder="1"/>
    <xf numFmtId="0" fontId="19" fillId="0" borderId="25" xfId="0" applyFont="1" applyBorder="1"/>
    <xf numFmtId="0" fontId="19" fillId="0" borderId="26" xfId="0" applyFont="1" applyBorder="1"/>
    <xf numFmtId="0" fontId="19" fillId="0" borderId="28" xfId="0" applyFont="1" applyBorder="1"/>
    <xf numFmtId="0" fontId="3" fillId="0" borderId="28" xfId="0" applyFont="1" applyBorder="1" applyAlignment="1">
      <alignment vertical="top"/>
    </xf>
    <xf numFmtId="0" fontId="19" fillId="0" borderId="30" xfId="0" applyFont="1" applyBorder="1"/>
    <xf numFmtId="0" fontId="19" fillId="0" borderId="24" xfId="0" applyFont="1" applyBorder="1"/>
    <xf numFmtId="0" fontId="19" fillId="0" borderId="31" xfId="0" applyFont="1" applyBorder="1"/>
    <xf numFmtId="0" fontId="19" fillId="0" borderId="30" xfId="0" applyFont="1" applyBorder="1" applyAlignment="1">
      <alignment vertical="top"/>
    </xf>
    <xf numFmtId="0" fontId="3" fillId="0" borderId="24" xfId="0" applyFont="1" applyBorder="1" applyAlignment="1">
      <alignment vertical="top"/>
    </xf>
    <xf numFmtId="0" fontId="3" fillId="0" borderId="31" xfId="0" applyFont="1" applyBorder="1" applyAlignment="1">
      <alignment vertical="top"/>
    </xf>
    <xf numFmtId="0" fontId="19" fillId="0" borderId="26" xfId="0" applyFont="1" applyBorder="1" applyAlignment="1">
      <alignment vertical="center"/>
    </xf>
    <xf numFmtId="0" fontId="19" fillId="0" borderId="28" xfId="0" applyFont="1" applyBorder="1" applyAlignment="1">
      <alignment vertical="center"/>
    </xf>
    <xf numFmtId="0" fontId="19" fillId="0" borderId="25" xfId="0" applyFont="1" applyBorder="1" applyAlignment="1">
      <alignment vertical="center"/>
    </xf>
    <xf numFmtId="0" fontId="19" fillId="4" borderId="25" xfId="0" applyFont="1" applyFill="1" applyBorder="1"/>
    <xf numFmtId="0" fontId="19" fillId="4" borderId="26" xfId="0" applyFont="1" applyFill="1" applyBorder="1"/>
    <xf numFmtId="0" fontId="0" fillId="4" borderId="26" xfId="0" applyFill="1" applyBorder="1"/>
    <xf numFmtId="0" fontId="0" fillId="4" borderId="28" xfId="0" applyFill="1" applyBorder="1"/>
    <xf numFmtId="0" fontId="0" fillId="4" borderId="25" xfId="0" applyFill="1" applyBorder="1"/>
    <xf numFmtId="0" fontId="19" fillId="4" borderId="28" xfId="0" applyFont="1" applyFill="1" applyBorder="1"/>
    <xf numFmtId="0" fontId="19" fillId="4" borderId="30" xfId="0" applyFont="1" applyFill="1" applyBorder="1"/>
    <xf numFmtId="0" fontId="19" fillId="4" borderId="24" xfId="0" applyFont="1" applyFill="1" applyBorder="1"/>
    <xf numFmtId="0" fontId="19" fillId="4" borderId="31" xfId="0" applyFont="1" applyFill="1" applyBorder="1"/>
    <xf numFmtId="0" fontId="19" fillId="0" borderId="29" xfId="0" applyFont="1" applyBorder="1"/>
    <xf numFmtId="0" fontId="19" fillId="0" borderId="27" xfId="0" applyFont="1" applyBorder="1"/>
    <xf numFmtId="0" fontId="19" fillId="0" borderId="58" xfId="0" applyFont="1" applyBorder="1"/>
    <xf numFmtId="0" fontId="19" fillId="0" borderId="59" xfId="0" applyFont="1" applyBorder="1"/>
    <xf numFmtId="0" fontId="19" fillId="0" borderId="60" xfId="0" applyFont="1" applyBorder="1"/>
    <xf numFmtId="0" fontId="0" fillId="0" borderId="63" xfId="0" applyBorder="1"/>
    <xf numFmtId="0" fontId="37" fillId="0" borderId="64" xfId="0" applyFont="1" applyBorder="1" applyAlignment="1">
      <alignment vertical="top"/>
    </xf>
    <xf numFmtId="0" fontId="3" fillId="0" borderId="65" xfId="0" applyFont="1" applyBorder="1" applyAlignment="1">
      <alignment vertical="top"/>
    </xf>
    <xf numFmtId="0" fontId="3" fillId="0" borderId="66" xfId="0" applyFont="1" applyBorder="1" applyAlignment="1">
      <alignment vertical="top"/>
    </xf>
    <xf numFmtId="0" fontId="37" fillId="0" borderId="65" xfId="0" applyFont="1" applyBorder="1" applyAlignment="1">
      <alignment vertical="top"/>
    </xf>
    <xf numFmtId="0" fontId="3" fillId="0" borderId="67" xfId="0" applyFont="1" applyBorder="1" applyAlignment="1">
      <alignment vertical="top"/>
    </xf>
    <xf numFmtId="0" fontId="38" fillId="0" borderId="64" xfId="0" applyFont="1" applyBorder="1" applyAlignment="1">
      <alignment horizontal="left" vertical="top"/>
    </xf>
    <xf numFmtId="0" fontId="4" fillId="0" borderId="65" xfId="0" applyFont="1" applyBorder="1" applyAlignment="1">
      <alignment horizontal="left" vertical="top"/>
    </xf>
    <xf numFmtId="0" fontId="6" fillId="0" borderId="62" xfId="0" applyFont="1" applyBorder="1" applyAlignment="1">
      <alignment vertical="center"/>
    </xf>
    <xf numFmtId="0" fontId="3" fillId="0" borderId="61" xfId="0" applyFont="1" applyBorder="1" applyAlignment="1">
      <alignment vertical="top"/>
    </xf>
    <xf numFmtId="0" fontId="39" fillId="0" borderId="62" xfId="0" applyFont="1" applyBorder="1" applyAlignment="1">
      <alignment horizontal="left" vertical="top"/>
    </xf>
    <xf numFmtId="0" fontId="38" fillId="0" borderId="62" xfId="0" applyFont="1" applyBorder="1" applyAlignment="1">
      <alignment horizontal="left" vertical="top"/>
    </xf>
    <xf numFmtId="0" fontId="4" fillId="0" borderId="68" xfId="0" applyFont="1" applyBorder="1" applyAlignment="1">
      <alignment horizontal="left" vertical="top"/>
    </xf>
    <xf numFmtId="0" fontId="4" fillId="0" borderId="63" xfId="0" applyFont="1" applyBorder="1" applyAlignment="1">
      <alignment horizontal="left" vertical="top"/>
    </xf>
    <xf numFmtId="0" fontId="6" fillId="0" borderId="62" xfId="0" applyFont="1" applyBorder="1" applyAlignment="1">
      <alignment horizontal="left" vertical="top"/>
    </xf>
    <xf numFmtId="0" fontId="44" fillId="2" borderId="63" xfId="0" applyFont="1" applyFill="1" applyBorder="1" applyAlignment="1">
      <alignment vertical="top"/>
    </xf>
    <xf numFmtId="0" fontId="3" fillId="2" borderId="63" xfId="0" applyFont="1" applyFill="1" applyBorder="1" applyAlignment="1">
      <alignment vertical="top"/>
    </xf>
    <xf numFmtId="0" fontId="3" fillId="2" borderId="69" xfId="0" applyFont="1" applyFill="1" applyBorder="1" applyAlignment="1">
      <alignment vertical="top"/>
    </xf>
    <xf numFmtId="0" fontId="37" fillId="0" borderId="65" xfId="0" applyFont="1" applyBorder="1"/>
    <xf numFmtId="0" fontId="16" fillId="0" borderId="65" xfId="0" applyFont="1" applyBorder="1"/>
    <xf numFmtId="0" fontId="16" fillId="0" borderId="63" xfId="0" applyFont="1" applyBorder="1"/>
    <xf numFmtId="0" fontId="37" fillId="0" borderId="63" xfId="0" applyFont="1" applyBorder="1"/>
    <xf numFmtId="0" fontId="19" fillId="0" borderId="64" xfId="0" applyFont="1" applyBorder="1"/>
    <xf numFmtId="0" fontId="19" fillId="0" borderId="65" xfId="0" applyFont="1" applyBorder="1"/>
    <xf numFmtId="0" fontId="19" fillId="0" borderId="67" xfId="0" applyFont="1" applyBorder="1"/>
    <xf numFmtId="0" fontId="19" fillId="0" borderId="68" xfId="0" applyFont="1" applyBorder="1"/>
    <xf numFmtId="0" fontId="19" fillId="0" borderId="63" xfId="0" applyFont="1" applyBorder="1"/>
    <xf numFmtId="0" fontId="19" fillId="0" borderId="69" xfId="0" applyFont="1" applyBorder="1"/>
    <xf numFmtId="0" fontId="19" fillId="0" borderId="68" xfId="0" applyFont="1" applyBorder="1" applyAlignment="1">
      <alignment vertical="top"/>
    </xf>
    <xf numFmtId="0" fontId="3" fillId="0" borderId="63" xfId="0" applyFont="1" applyBorder="1" applyAlignment="1">
      <alignment vertical="top"/>
    </xf>
    <xf numFmtId="0" fontId="3" fillId="0" borderId="69" xfId="0" applyFont="1" applyBorder="1" applyAlignment="1">
      <alignment vertical="top"/>
    </xf>
    <xf numFmtId="0" fontId="19" fillId="0" borderId="65" xfId="0" applyFont="1" applyBorder="1" applyAlignment="1">
      <alignment vertical="center"/>
    </xf>
    <xf numFmtId="0" fontId="19" fillId="0" borderId="67" xfId="0" applyFont="1" applyBorder="1" applyAlignment="1">
      <alignment vertical="center"/>
    </xf>
    <xf numFmtId="0" fontId="19" fillId="0" borderId="64" xfId="0" applyFont="1" applyBorder="1" applyAlignment="1">
      <alignment vertical="center"/>
    </xf>
    <xf numFmtId="0" fontId="19" fillId="0" borderId="62" xfId="0" applyFont="1" applyBorder="1"/>
    <xf numFmtId="0" fontId="19" fillId="0" borderId="61" xfId="0" applyFont="1" applyBorder="1"/>
    <xf numFmtId="0" fontId="19" fillId="5" borderId="64" xfId="0" applyFont="1" applyFill="1" applyBorder="1"/>
    <xf numFmtId="0" fontId="19" fillId="5" borderId="65" xfId="0" applyFont="1" applyFill="1" applyBorder="1"/>
    <xf numFmtId="0" fontId="0" fillId="5" borderId="65" xfId="0" applyFill="1" applyBorder="1"/>
    <xf numFmtId="0" fontId="0" fillId="5" borderId="67" xfId="0" applyFill="1" applyBorder="1"/>
    <xf numFmtId="0" fontId="0" fillId="5" borderId="64" xfId="0" applyFill="1" applyBorder="1"/>
    <xf numFmtId="0" fontId="19" fillId="5" borderId="67" xfId="0" applyFont="1" applyFill="1" applyBorder="1"/>
    <xf numFmtId="0" fontId="19" fillId="5" borderId="68" xfId="0" applyFont="1" applyFill="1" applyBorder="1"/>
    <xf numFmtId="0" fontId="19" fillId="5" borderId="63" xfId="0" applyFont="1" applyFill="1" applyBorder="1"/>
    <xf numFmtId="0" fontId="19" fillId="5" borderId="69" xfId="0" applyFont="1" applyFill="1" applyBorder="1"/>
    <xf numFmtId="0" fontId="19" fillId="0" borderId="103" xfId="0" applyFont="1" applyBorder="1"/>
    <xf numFmtId="0" fontId="19" fillId="0" borderId="104" xfId="0" applyFont="1" applyBorder="1"/>
    <xf numFmtId="0" fontId="46" fillId="0" borderId="107" xfId="0" applyFont="1" applyBorder="1" applyAlignment="1">
      <alignment vertical="top"/>
    </xf>
    <xf numFmtId="0" fontId="3" fillId="0" borderId="108" xfId="0" applyFont="1" applyBorder="1" applyAlignment="1">
      <alignment vertical="top"/>
    </xf>
    <xf numFmtId="0" fontId="46" fillId="0" borderId="108" xfId="0" applyFont="1" applyBorder="1" applyAlignment="1">
      <alignment vertical="top"/>
    </xf>
    <xf numFmtId="0" fontId="3" fillId="0" borderId="109" xfId="0" applyFont="1" applyBorder="1" applyAlignment="1">
      <alignment vertical="top"/>
    </xf>
    <xf numFmtId="0" fontId="47" fillId="0" borderId="108" xfId="0" applyFont="1" applyBorder="1" applyAlignment="1">
      <alignment horizontal="left" vertical="top"/>
    </xf>
    <xf numFmtId="0" fontId="4" fillId="0" borderId="108" xfId="0" applyFont="1" applyBorder="1" applyAlignment="1">
      <alignment horizontal="left" vertical="top"/>
    </xf>
    <xf numFmtId="0" fontId="6" fillId="0" borderId="105" xfId="0" applyFont="1" applyBorder="1" applyAlignment="1">
      <alignment vertical="center"/>
    </xf>
    <xf numFmtId="0" fontId="3" fillId="0" borderId="106" xfId="0" applyFont="1" applyBorder="1" applyAlignment="1">
      <alignment vertical="top"/>
    </xf>
    <xf numFmtId="0" fontId="48" fillId="0" borderId="0" xfId="0" applyFont="1" applyAlignment="1">
      <alignment horizontal="left" vertical="top"/>
    </xf>
    <xf numFmtId="0" fontId="47" fillId="0" borderId="0" xfId="0" applyFont="1" applyAlignment="1">
      <alignment horizontal="left" vertical="top"/>
    </xf>
    <xf numFmtId="0" fontId="4" fillId="0" borderId="110" xfId="0" applyFont="1" applyBorder="1" applyAlignment="1">
      <alignment horizontal="left" vertical="top"/>
    </xf>
    <xf numFmtId="0" fontId="46" fillId="6" borderId="108" xfId="0" applyFont="1" applyFill="1" applyBorder="1" applyAlignment="1">
      <alignment vertical="center"/>
    </xf>
    <xf numFmtId="0" fontId="46" fillId="6" borderId="109" xfId="0" applyFont="1" applyFill="1" applyBorder="1" applyAlignment="1">
      <alignment vertical="center"/>
    </xf>
    <xf numFmtId="0" fontId="46" fillId="6" borderId="107" xfId="0" applyFont="1" applyFill="1" applyBorder="1" applyAlignment="1">
      <alignment vertical="center"/>
    </xf>
    <xf numFmtId="0" fontId="15" fillId="6" borderId="110" xfId="0" applyFont="1" applyFill="1" applyBorder="1" applyAlignment="1">
      <alignment vertical="top"/>
    </xf>
    <xf numFmtId="0" fontId="3" fillId="6" borderId="110" xfId="0" applyFont="1" applyFill="1" applyBorder="1" applyAlignment="1">
      <alignment vertical="top"/>
    </xf>
    <xf numFmtId="0" fontId="3" fillId="6" borderId="111" xfId="0" applyFont="1" applyFill="1" applyBorder="1" applyAlignment="1">
      <alignment vertical="top"/>
    </xf>
    <xf numFmtId="0" fontId="46" fillId="0" borderId="107" xfId="0" applyFont="1" applyBorder="1"/>
    <xf numFmtId="0" fontId="16" fillId="0" borderId="108" xfId="0" applyFont="1" applyBorder="1"/>
    <xf numFmtId="0" fontId="16" fillId="0" borderId="109" xfId="0" applyFont="1" applyBorder="1"/>
    <xf numFmtId="0" fontId="16" fillId="0" borderId="112" xfId="0" applyFont="1" applyBorder="1"/>
    <xf numFmtId="0" fontId="16" fillId="0" borderId="110" xfId="0" applyFont="1" applyBorder="1"/>
    <xf numFmtId="0" fontId="46" fillId="0" borderId="110" xfId="0" applyFont="1" applyBorder="1"/>
    <xf numFmtId="0" fontId="16" fillId="0" borderId="111" xfId="0" applyFont="1" applyBorder="1"/>
    <xf numFmtId="0" fontId="19" fillId="0" borderId="107" xfId="0" applyFont="1" applyBorder="1"/>
    <xf numFmtId="0" fontId="19" fillId="0" borderId="108" xfId="0" applyFont="1" applyBorder="1"/>
    <xf numFmtId="0" fontId="19" fillId="0" borderId="109" xfId="0" applyFont="1" applyBorder="1"/>
    <xf numFmtId="0" fontId="19" fillId="0" borderId="112" xfId="0" applyFont="1" applyBorder="1"/>
    <xf numFmtId="0" fontId="19" fillId="0" borderId="110" xfId="0" applyFont="1" applyBorder="1"/>
    <xf numFmtId="0" fontId="19" fillId="0" borderId="111" xfId="0" applyFont="1" applyBorder="1"/>
    <xf numFmtId="0" fontId="19" fillId="0" borderId="112" xfId="0" applyFont="1" applyBorder="1" applyAlignment="1">
      <alignment vertical="top"/>
    </xf>
    <xf numFmtId="0" fontId="3" fillId="0" borderId="110" xfId="0" applyFont="1" applyBorder="1" applyAlignment="1">
      <alignment vertical="top"/>
    </xf>
    <xf numFmtId="0" fontId="3" fillId="0" borderId="111" xfId="0" applyFont="1" applyBorder="1" applyAlignment="1">
      <alignment vertical="top"/>
    </xf>
    <xf numFmtId="0" fontId="19" fillId="0" borderId="108" xfId="0" applyFont="1" applyBorder="1" applyAlignment="1">
      <alignment vertical="center"/>
    </xf>
    <xf numFmtId="0" fontId="19" fillId="0" borderId="109" xfId="0" applyFont="1" applyBorder="1" applyAlignment="1">
      <alignment vertical="center"/>
    </xf>
    <xf numFmtId="0" fontId="19" fillId="0" borderId="107" xfId="0" applyFont="1" applyBorder="1" applyAlignment="1">
      <alignment vertical="center"/>
    </xf>
    <xf numFmtId="0" fontId="19" fillId="6" borderId="3" xfId="0" applyFont="1" applyFill="1" applyBorder="1"/>
    <xf numFmtId="0" fontId="19" fillId="6" borderId="0" xfId="0" applyFont="1" applyFill="1"/>
    <xf numFmtId="0" fontId="0" fillId="6" borderId="0" xfId="0" applyFill="1"/>
    <xf numFmtId="0" fontId="0" fillId="6" borderId="106" xfId="0" applyFill="1" applyBorder="1"/>
    <xf numFmtId="0" fontId="0" fillId="6" borderId="108" xfId="0" applyFill="1" applyBorder="1"/>
    <xf numFmtId="0" fontId="19" fillId="6" borderId="108" xfId="0" applyFont="1" applyFill="1" applyBorder="1"/>
    <xf numFmtId="0" fontId="19" fillId="6" borderId="109" xfId="0" applyFont="1" applyFill="1" applyBorder="1"/>
    <xf numFmtId="0" fontId="19" fillId="6" borderId="106" xfId="0" applyFont="1" applyFill="1" applyBorder="1"/>
    <xf numFmtId="0" fontId="19" fillId="6" borderId="110" xfId="0" applyFont="1" applyFill="1" applyBorder="1"/>
    <xf numFmtId="0" fontId="19" fillId="6" borderId="111" xfId="0" applyFont="1" applyFill="1" applyBorder="1"/>
    <xf numFmtId="0" fontId="19" fillId="0" borderId="105" xfId="0" applyFont="1" applyBorder="1"/>
    <xf numFmtId="0" fontId="19" fillId="0" borderId="106" xfId="0" applyFont="1" applyBorder="1"/>
    <xf numFmtId="0" fontId="19" fillId="0" borderId="145" xfId="0" applyFont="1" applyBorder="1"/>
    <xf numFmtId="0" fontId="19" fillId="0" borderId="146" xfId="0" applyFont="1" applyBorder="1"/>
    <xf numFmtId="0" fontId="19" fillId="0" borderId="147" xfId="0" applyFont="1" applyBorder="1"/>
    <xf numFmtId="0" fontId="0" fillId="0" borderId="148" xfId="0" applyBorder="1"/>
    <xf numFmtId="0" fontId="55" fillId="0" borderId="148" xfId="0" applyFont="1" applyBorder="1"/>
    <xf numFmtId="0" fontId="56" fillId="0" borderId="149" xfId="0" applyFont="1" applyBorder="1" applyAlignment="1">
      <alignment vertical="top"/>
    </xf>
    <xf numFmtId="0" fontId="56" fillId="0" borderId="0" xfId="0" applyFont="1" applyAlignment="1">
      <alignment vertical="top"/>
    </xf>
    <xf numFmtId="0" fontId="3" fillId="0" borderId="150" xfId="0" applyFont="1" applyBorder="1" applyAlignment="1">
      <alignment vertical="top"/>
    </xf>
    <xf numFmtId="0" fontId="57" fillId="0" borderId="151" xfId="0" applyFont="1" applyBorder="1" applyAlignment="1">
      <alignment horizontal="left" vertical="top"/>
    </xf>
    <xf numFmtId="0" fontId="4" fillId="0" borderId="151" xfId="0" applyFont="1" applyBorder="1" applyAlignment="1">
      <alignment horizontal="left" vertical="top"/>
    </xf>
    <xf numFmtId="0" fontId="58" fillId="0" borderId="149" xfId="0" applyFont="1" applyBorder="1" applyAlignment="1">
      <alignment vertical="center"/>
    </xf>
    <xf numFmtId="0" fontId="58" fillId="0" borderId="0" xfId="0" applyFont="1" applyAlignment="1">
      <alignment vertical="center"/>
    </xf>
    <xf numFmtId="0" fontId="59" fillId="0" borderId="0" xfId="0" applyFont="1" applyAlignment="1">
      <alignment horizontal="left" vertical="top"/>
    </xf>
    <xf numFmtId="0" fontId="57" fillId="0" borderId="0" xfId="0" applyFont="1" applyAlignment="1">
      <alignment horizontal="left" vertical="top"/>
    </xf>
    <xf numFmtId="0" fontId="56" fillId="0" borderId="151" xfId="0" applyFont="1" applyBorder="1" applyAlignment="1">
      <alignment vertical="center"/>
    </xf>
    <xf numFmtId="0" fontId="56" fillId="0" borderId="176" xfId="0" applyFont="1" applyBorder="1" applyAlignment="1">
      <alignment vertical="center"/>
    </xf>
    <xf numFmtId="0" fontId="15" fillId="0" borderId="180" xfId="0" applyFont="1" applyBorder="1" applyAlignment="1">
      <alignment vertical="top"/>
    </xf>
    <xf numFmtId="0" fontId="15" fillId="0" borderId="148" xfId="0" applyFont="1" applyBorder="1" applyAlignment="1">
      <alignment vertical="top"/>
    </xf>
    <xf numFmtId="0" fontId="15" fillId="0" borderId="181" xfId="0" applyFont="1" applyBorder="1" applyAlignment="1">
      <alignment vertical="top"/>
    </xf>
    <xf numFmtId="0" fontId="56" fillId="0" borderId="165" xfId="0" applyFont="1" applyBorder="1"/>
    <xf numFmtId="0" fontId="16" fillId="0" borderId="151" xfId="0" applyFont="1" applyBorder="1"/>
    <xf numFmtId="0" fontId="16" fillId="0" borderId="152" xfId="0" applyFont="1" applyBorder="1"/>
    <xf numFmtId="0" fontId="65" fillId="0" borderId="1" xfId="0" applyFont="1" applyBorder="1" applyAlignment="1">
      <alignment horizontal="center"/>
    </xf>
    <xf numFmtId="0" fontId="16" fillId="0" borderId="154" xfId="0" applyFont="1" applyBorder="1"/>
    <xf numFmtId="0" fontId="16" fillId="0" borderId="148" xfId="0" applyFont="1" applyBorder="1"/>
    <xf numFmtId="0" fontId="56" fillId="0" borderId="148" xfId="0" applyFont="1" applyBorder="1"/>
    <xf numFmtId="0" fontId="16" fillId="0" borderId="153" xfId="0" applyFont="1" applyBorder="1"/>
    <xf numFmtId="0" fontId="56" fillId="0" borderId="165" xfId="0" applyFont="1" applyBorder="1" applyAlignment="1">
      <alignment vertical="top"/>
    </xf>
    <xf numFmtId="0" fontId="3" fillId="0" borderId="151" xfId="0" applyFont="1" applyBorder="1" applyAlignment="1">
      <alignment vertical="top"/>
    </xf>
    <xf numFmtId="0" fontId="3" fillId="0" borderId="152" xfId="0" applyFont="1" applyBorder="1" applyAlignment="1">
      <alignment vertical="top"/>
    </xf>
    <xf numFmtId="0" fontId="19" fillId="0" borderId="154" xfId="0" applyFont="1" applyBorder="1" applyAlignment="1">
      <alignment vertical="top"/>
    </xf>
    <xf numFmtId="0" fontId="3" fillId="0" borderId="148" xfId="0" applyFont="1" applyBorder="1" applyAlignment="1">
      <alignment vertical="top"/>
    </xf>
    <xf numFmtId="0" fontId="3" fillId="0" borderId="153" xfId="0" applyFont="1" applyBorder="1" applyAlignment="1">
      <alignment vertical="top"/>
    </xf>
    <xf numFmtId="0" fontId="19" fillId="7" borderId="165" xfId="0" applyFont="1" applyFill="1" applyBorder="1"/>
    <xf numFmtId="0" fontId="19" fillId="7" borderId="151" xfId="0" applyFont="1" applyFill="1" applyBorder="1"/>
    <xf numFmtId="0" fontId="0" fillId="7" borderId="151" xfId="0" applyFill="1" applyBorder="1"/>
    <xf numFmtId="0" fontId="0" fillId="7" borderId="152" xfId="0" applyFill="1" applyBorder="1"/>
    <xf numFmtId="0" fontId="0" fillId="7" borderId="165" xfId="0" applyFill="1" applyBorder="1"/>
    <xf numFmtId="0" fontId="19" fillId="7" borderId="152" xfId="0" applyFont="1" applyFill="1" applyBorder="1"/>
    <xf numFmtId="0" fontId="19" fillId="7" borderId="154" xfId="0" applyFont="1" applyFill="1" applyBorder="1"/>
    <xf numFmtId="0" fontId="19" fillId="7" borderId="148" xfId="0" applyFont="1" applyFill="1" applyBorder="1"/>
    <xf numFmtId="0" fontId="19" fillId="7" borderId="153" xfId="0" applyFont="1" applyFill="1" applyBorder="1"/>
    <xf numFmtId="0" fontId="19" fillId="0" borderId="165" xfId="0" applyFont="1" applyBorder="1"/>
    <xf numFmtId="0" fontId="19" fillId="0" borderId="151" xfId="0" applyFont="1" applyBorder="1"/>
    <xf numFmtId="0" fontId="19" fillId="0" borderId="152" xfId="0" applyFont="1" applyBorder="1"/>
    <xf numFmtId="0" fontId="19" fillId="0" borderId="149" xfId="0" applyFont="1" applyBorder="1"/>
    <xf numFmtId="0" fontId="19" fillId="0" borderId="150" xfId="0" applyFont="1" applyBorder="1"/>
    <xf numFmtId="0" fontId="19" fillId="0" borderId="187" xfId="0" applyFont="1" applyBorder="1"/>
    <xf numFmtId="0" fontId="19" fillId="0" borderId="188" xfId="0" applyFont="1" applyBorder="1"/>
    <xf numFmtId="0" fontId="19" fillId="0" borderId="189" xfId="0" applyFont="1" applyBorder="1"/>
    <xf numFmtId="0" fontId="16" fillId="0" borderId="0" xfId="0" applyFont="1" applyAlignment="1">
      <alignment horizontal="center"/>
    </xf>
    <xf numFmtId="0" fontId="58" fillId="0" borderId="149" xfId="0" applyFont="1" applyBorder="1" applyAlignment="1">
      <alignment horizontal="left" vertical="top"/>
    </xf>
    <xf numFmtId="0" fontId="6" fillId="0" borderId="105" xfId="0" applyFont="1" applyBorder="1" applyAlignment="1">
      <alignment horizontal="left" vertical="top"/>
    </xf>
    <xf numFmtId="0" fontId="16" fillId="0" borderId="105" xfId="0" applyFont="1" applyBorder="1" applyAlignment="1">
      <alignment horizontal="center"/>
    </xf>
    <xf numFmtId="0" fontId="16" fillId="0" borderId="62" xfId="0" applyFont="1" applyBorder="1" applyAlignment="1">
      <alignment horizontal="center"/>
    </xf>
    <xf numFmtId="0" fontId="6" fillId="0" borderId="29" xfId="0" applyFont="1" applyBorder="1" applyAlignment="1">
      <alignment horizontal="left" vertical="top"/>
    </xf>
    <xf numFmtId="0" fontId="6" fillId="0" borderId="3" xfId="0" applyFont="1" applyBorder="1" applyAlignment="1">
      <alignment horizontal="left" vertical="top"/>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left"/>
    </xf>
    <xf numFmtId="0" fontId="1" fillId="0" borderId="1" xfId="0" applyFont="1" applyBorder="1" applyAlignment="1">
      <alignment horizontal="left"/>
    </xf>
    <xf numFmtId="0" fontId="10" fillId="0" borderId="2" xfId="0" applyFont="1" applyBorder="1" applyAlignment="1">
      <alignment horizontal="left" vertical="center"/>
    </xf>
    <xf numFmtId="0" fontId="10" fillId="0" borderId="9" xfId="0" applyFont="1" applyBorder="1" applyAlignment="1">
      <alignment horizontal="left" vertical="center"/>
    </xf>
    <xf numFmtId="0" fontId="3"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6" fillId="0" borderId="3" xfId="0" applyFont="1" applyBorder="1" applyAlignment="1">
      <alignment horizontal="center" vertical="top"/>
    </xf>
    <xf numFmtId="0" fontId="6" fillId="0" borderId="0" xfId="0" applyFont="1" applyAlignment="1">
      <alignment horizontal="center" vertical="top"/>
    </xf>
    <xf numFmtId="0" fontId="6" fillId="0" borderId="1" xfId="0" applyFont="1" applyBorder="1" applyAlignment="1">
      <alignment horizontal="center" vertical="top"/>
    </xf>
    <xf numFmtId="0" fontId="6" fillId="0" borderId="2" xfId="0" applyFont="1" applyBorder="1" applyAlignment="1">
      <alignment horizontal="center" vertical="top"/>
    </xf>
    <xf numFmtId="0" fontId="6" fillId="0" borderId="5"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14" fillId="0" borderId="11" xfId="0" applyFont="1" applyBorder="1" applyAlignment="1">
      <alignment horizontal="center" vertical="top" wrapText="1"/>
    </xf>
    <xf numFmtId="0" fontId="14" fillId="0" borderId="11" xfId="0" applyFont="1" applyBorder="1" applyAlignment="1">
      <alignment horizontal="center" vertical="top"/>
    </xf>
    <xf numFmtId="0" fontId="6" fillId="0" borderId="5" xfId="0" applyFont="1" applyBorder="1" applyAlignment="1">
      <alignment horizontal="center" vertical="top" wrapText="1"/>
    </xf>
    <xf numFmtId="0" fontId="6" fillId="0" borderId="1" xfId="0" applyFont="1" applyBorder="1" applyAlignment="1">
      <alignment horizontal="center" vertical="top" wrapText="1"/>
    </xf>
    <xf numFmtId="0" fontId="6" fillId="0" borderId="2" xfId="0" applyFont="1" applyBorder="1" applyAlignment="1">
      <alignment horizontal="center" vertical="top" wrapText="1"/>
    </xf>
    <xf numFmtId="0" fontId="13" fillId="0" borderId="3" xfId="0" applyFont="1" applyBorder="1" applyAlignment="1">
      <alignment horizontal="left" vertical="top"/>
    </xf>
    <xf numFmtId="0" fontId="13" fillId="0" borderId="0" xfId="0" applyFont="1" applyAlignment="1">
      <alignment horizontal="left" vertical="top"/>
    </xf>
    <xf numFmtId="0" fontId="13" fillId="0" borderId="4" xfId="0" applyFont="1" applyBorder="1" applyAlignment="1">
      <alignment horizontal="left" vertical="top"/>
    </xf>
    <xf numFmtId="0" fontId="3" fillId="0" borderId="11" xfId="0" applyFont="1" applyBorder="1" applyAlignment="1">
      <alignment horizontal="center" vertic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0" fontId="16" fillId="0" borderId="8" xfId="0" applyFont="1" applyBorder="1" applyAlignment="1">
      <alignment horizontal="center"/>
    </xf>
    <xf numFmtId="1" fontId="6" fillId="0" borderId="6" xfId="1" applyNumberFormat="1" applyFont="1" applyBorder="1" applyAlignment="1">
      <alignment horizontal="center" vertical="top"/>
    </xf>
    <xf numFmtId="1" fontId="6" fillId="0" borderId="7" xfId="1" applyNumberFormat="1" applyFont="1" applyBorder="1" applyAlignment="1">
      <alignment horizontal="center" vertical="top"/>
    </xf>
    <xf numFmtId="1" fontId="6" fillId="0" borderId="8" xfId="1" applyNumberFormat="1" applyFont="1" applyBorder="1" applyAlignment="1">
      <alignment horizontal="center" vertical="top"/>
    </xf>
    <xf numFmtId="1" fontId="6" fillId="0" borderId="3" xfId="1" applyNumberFormat="1" applyFont="1" applyBorder="1" applyAlignment="1">
      <alignment horizontal="center" vertical="top"/>
    </xf>
    <xf numFmtId="1" fontId="6" fillId="0" borderId="0" xfId="1" applyNumberFormat="1" applyFont="1" applyBorder="1" applyAlignment="1">
      <alignment horizontal="center" vertical="top"/>
    </xf>
    <xf numFmtId="1" fontId="6" fillId="0" borderId="4" xfId="1" applyNumberFormat="1" applyFont="1" applyBorder="1" applyAlignment="1">
      <alignment horizontal="center" vertical="top"/>
    </xf>
    <xf numFmtId="1" fontId="6" fillId="0" borderId="0" xfId="1" applyNumberFormat="1" applyFont="1" applyAlignment="1">
      <alignment horizontal="center" vertical="top"/>
    </xf>
    <xf numFmtId="1" fontId="6" fillId="0" borderId="5" xfId="1" applyNumberFormat="1" applyFont="1" applyBorder="1" applyAlignment="1">
      <alignment horizontal="center" vertical="top"/>
    </xf>
    <xf numFmtId="1" fontId="6" fillId="0" borderId="1" xfId="1" applyNumberFormat="1" applyFont="1" applyBorder="1" applyAlignment="1">
      <alignment horizontal="center" vertical="top"/>
    </xf>
    <xf numFmtId="1" fontId="6" fillId="0" borderId="2" xfId="1" applyNumberFormat="1" applyFont="1" applyBorder="1" applyAlignment="1">
      <alignment horizontal="center" vertical="top"/>
    </xf>
    <xf numFmtId="164" fontId="6" fillId="0" borderId="6" xfId="1" applyNumberFormat="1" applyFont="1" applyBorder="1" applyAlignment="1">
      <alignment horizontal="center" vertical="top"/>
    </xf>
    <xf numFmtId="164" fontId="6" fillId="0" borderId="7" xfId="1" applyNumberFormat="1" applyFont="1" applyBorder="1" applyAlignment="1">
      <alignment horizontal="center" vertical="top"/>
    </xf>
    <xf numFmtId="164" fontId="6" fillId="0" borderId="8" xfId="1" applyNumberFormat="1" applyFont="1" applyBorder="1" applyAlignment="1">
      <alignment horizontal="center" vertical="top"/>
    </xf>
    <xf numFmtId="164" fontId="6" fillId="0" borderId="3" xfId="1" applyNumberFormat="1" applyFont="1" applyBorder="1" applyAlignment="1">
      <alignment horizontal="center" vertical="top"/>
    </xf>
    <xf numFmtId="164" fontId="6" fillId="0" borderId="0" xfId="1" applyNumberFormat="1" applyFont="1" applyBorder="1" applyAlignment="1">
      <alignment horizontal="center" vertical="top"/>
    </xf>
    <xf numFmtId="164" fontId="6" fillId="0" borderId="4" xfId="1" applyNumberFormat="1" applyFont="1" applyBorder="1" applyAlignment="1">
      <alignment horizontal="center" vertical="top"/>
    </xf>
    <xf numFmtId="164" fontId="6" fillId="0" borderId="0" xfId="1" applyNumberFormat="1" applyFont="1" applyAlignment="1">
      <alignment horizontal="center" vertical="top"/>
    </xf>
    <xf numFmtId="164" fontId="6" fillId="0" borderId="5" xfId="1" applyNumberFormat="1" applyFont="1" applyBorder="1" applyAlignment="1">
      <alignment horizontal="center" vertical="top"/>
    </xf>
    <xf numFmtId="164" fontId="6" fillId="0" borderId="1" xfId="1" applyNumberFormat="1" applyFont="1" applyBorder="1" applyAlignment="1">
      <alignment horizontal="center" vertical="top"/>
    </xf>
    <xf numFmtId="164" fontId="6" fillId="0" borderId="2" xfId="1" applyNumberFormat="1" applyFont="1" applyBorder="1" applyAlignment="1">
      <alignment horizontal="center" vertical="top"/>
    </xf>
    <xf numFmtId="0" fontId="17" fillId="0" borderId="3" xfId="0" applyFont="1" applyBorder="1" applyAlignment="1">
      <alignment horizontal="center" vertical="top"/>
    </xf>
    <xf numFmtId="0" fontId="17" fillId="0" borderId="0" xfId="0" applyFont="1" applyAlignment="1">
      <alignment horizontal="center" vertical="top"/>
    </xf>
    <xf numFmtId="0" fontId="17" fillId="0" borderId="4" xfId="0" applyFont="1" applyBorder="1" applyAlignment="1">
      <alignment horizontal="center" vertical="top"/>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6" fillId="0" borderId="16" xfId="0" applyFont="1" applyBorder="1" applyAlignment="1">
      <alignment horizontal="center" vertical="top"/>
    </xf>
    <xf numFmtId="0" fontId="6" fillId="0" borderId="17" xfId="0" applyFont="1" applyBorder="1" applyAlignment="1">
      <alignment horizontal="center" vertical="top"/>
    </xf>
    <xf numFmtId="0" fontId="6" fillId="0" borderId="18" xfId="0" applyFont="1" applyBorder="1" applyAlignment="1">
      <alignment horizontal="center" vertical="top"/>
    </xf>
    <xf numFmtId="15" fontId="15" fillId="2" borderId="5" xfId="0" applyNumberFormat="1" applyFont="1" applyFill="1" applyBorder="1" applyAlignment="1">
      <alignment horizontal="center" vertical="top"/>
    </xf>
    <xf numFmtId="15" fontId="15" fillId="2" borderId="1" xfId="0" applyNumberFormat="1" applyFont="1" applyFill="1" applyBorder="1" applyAlignment="1">
      <alignment horizontal="center" vertical="top"/>
    </xf>
    <xf numFmtId="15" fontId="15" fillId="2" borderId="2" xfId="0" applyNumberFormat="1" applyFont="1" applyFill="1" applyBorder="1" applyAlignment="1">
      <alignment horizontal="center" vertical="top"/>
    </xf>
    <xf numFmtId="0" fontId="3" fillId="0" borderId="3" xfId="0" applyFont="1" applyBorder="1" applyAlignment="1">
      <alignment horizontal="left" vertical="top"/>
    </xf>
    <xf numFmtId="0" fontId="3" fillId="0" borderId="0" xfId="0" applyFont="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6" fillId="0" borderId="3" xfId="0" applyFont="1" applyBorder="1" applyAlignment="1">
      <alignment horizontal="left" vertical="top"/>
    </xf>
    <xf numFmtId="0" fontId="6" fillId="0" borderId="0" xfId="0" applyFont="1" applyAlignment="1">
      <alignment horizontal="left" vertical="top"/>
    </xf>
    <xf numFmtId="0" fontId="6" fillId="0" borderId="4" xfId="0" applyFont="1" applyBorder="1" applyAlignment="1">
      <alignment horizontal="left" vertical="top"/>
    </xf>
    <xf numFmtId="3" fontId="6" fillId="0" borderId="6" xfId="1" applyNumberFormat="1" applyFont="1" applyBorder="1" applyAlignment="1">
      <alignment horizontal="center" vertical="top"/>
    </xf>
    <xf numFmtId="3" fontId="6" fillId="0" borderId="7" xfId="1" applyNumberFormat="1" applyFont="1" applyBorder="1" applyAlignment="1">
      <alignment horizontal="center" vertical="top"/>
    </xf>
    <xf numFmtId="3" fontId="6" fillId="0" borderId="8" xfId="1" applyNumberFormat="1" applyFont="1" applyBorder="1" applyAlignment="1">
      <alignment horizontal="center" vertical="top"/>
    </xf>
    <xf numFmtId="3" fontId="6" fillId="0" borderId="3" xfId="1" applyNumberFormat="1" applyFont="1" applyBorder="1" applyAlignment="1">
      <alignment horizontal="center" vertical="top"/>
    </xf>
    <xf numFmtId="3" fontId="6" fillId="0" borderId="0" xfId="1" applyNumberFormat="1" applyFont="1" applyBorder="1" applyAlignment="1">
      <alignment horizontal="center" vertical="top"/>
    </xf>
    <xf numFmtId="3" fontId="6" fillId="0" borderId="4" xfId="1" applyNumberFormat="1" applyFont="1" applyBorder="1" applyAlignment="1">
      <alignment horizontal="center" vertical="top"/>
    </xf>
    <xf numFmtId="3" fontId="6" fillId="0" borderId="0" xfId="1" applyNumberFormat="1" applyFont="1" applyAlignment="1">
      <alignment horizontal="center" vertical="top"/>
    </xf>
    <xf numFmtId="0" fontId="19" fillId="0" borderId="7" xfId="0" applyFont="1" applyBorder="1" applyAlignment="1">
      <alignment horizont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15" fontId="6" fillId="0" borderId="22" xfId="0" applyNumberFormat="1" applyFont="1" applyBorder="1" applyAlignment="1">
      <alignment horizontal="center"/>
    </xf>
    <xf numFmtId="0" fontId="6" fillId="0" borderId="22" xfId="0" applyFont="1" applyBorder="1" applyAlignment="1">
      <alignment horizontal="center"/>
    </xf>
    <xf numFmtId="165" fontId="6" fillId="0" borderId="6" xfId="0" applyNumberFormat="1" applyFont="1" applyBorder="1" applyAlignment="1">
      <alignment horizontal="center"/>
    </xf>
    <xf numFmtId="165" fontId="6" fillId="0" borderId="7" xfId="0" applyNumberFormat="1" applyFont="1" applyBorder="1" applyAlignment="1">
      <alignment horizontal="center"/>
    </xf>
    <xf numFmtId="165" fontId="6" fillId="0" borderId="8" xfId="0" applyNumberFormat="1" applyFont="1" applyBorder="1" applyAlignment="1">
      <alignment horizontal="center"/>
    </xf>
    <xf numFmtId="165" fontId="6" fillId="0" borderId="5" xfId="0" applyNumberFormat="1" applyFont="1" applyBorder="1" applyAlignment="1">
      <alignment horizontal="center"/>
    </xf>
    <xf numFmtId="165" fontId="6" fillId="0" borderId="1" xfId="0" applyNumberFormat="1" applyFont="1" applyBorder="1" applyAlignment="1">
      <alignment horizontal="center"/>
    </xf>
    <xf numFmtId="165" fontId="6" fillId="0" borderId="2" xfId="0" applyNumberFormat="1" applyFont="1" applyBorder="1" applyAlignment="1">
      <alignment horizontal="center"/>
    </xf>
    <xf numFmtId="0" fontId="6" fillId="0" borderId="7" xfId="0" applyFont="1" applyBorder="1" applyAlignment="1">
      <alignment horizontal="center" vertical="top"/>
    </xf>
    <xf numFmtId="0" fontId="19" fillId="0" borderId="10" xfId="0" applyFont="1" applyBorder="1" applyAlignment="1">
      <alignment horizontal="center"/>
    </xf>
    <xf numFmtId="0" fontId="19" fillId="0" borderId="11" xfId="0" applyFont="1" applyBorder="1" applyAlignment="1">
      <alignment horizontal="center"/>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3" xfId="0" applyFont="1" applyBorder="1" applyAlignment="1">
      <alignment horizontal="left" vertical="top" wrapText="1"/>
    </xf>
    <xf numFmtId="0" fontId="13" fillId="0" borderId="0" xfId="0" applyFont="1" applyAlignment="1">
      <alignment horizontal="left" vertical="top" wrapText="1"/>
    </xf>
    <xf numFmtId="0" fontId="13" fillId="0" borderId="4" xfId="0" applyFont="1" applyBorder="1" applyAlignment="1">
      <alignment horizontal="left" vertical="top" wrapText="1"/>
    </xf>
    <xf numFmtId="0" fontId="9" fillId="0" borderId="6" xfId="0" applyFont="1" applyBorder="1" applyAlignment="1">
      <alignment horizontal="left" vertical="top" wrapText="1"/>
    </xf>
    <xf numFmtId="0" fontId="6" fillId="0" borderId="7" xfId="0" applyFont="1" applyBorder="1" applyAlignment="1">
      <alignment horizontal="left" vertical="top"/>
    </xf>
    <xf numFmtId="0" fontId="6" fillId="0" borderId="8" xfId="0" applyFont="1" applyBorder="1" applyAlignment="1">
      <alignment horizontal="left" vertical="top"/>
    </xf>
    <xf numFmtId="0" fontId="9" fillId="0" borderId="3" xfId="0" applyFont="1" applyBorder="1" applyAlignment="1">
      <alignment horizontal="left" vertical="top" wrapText="1"/>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9" fillId="0" borderId="0" xfId="0" applyFont="1" applyAlignment="1">
      <alignment horizontal="center"/>
    </xf>
    <xf numFmtId="0" fontId="23" fillId="0" borderId="7" xfId="0" applyFont="1" applyBorder="1" applyAlignment="1">
      <alignment horizontal="center"/>
    </xf>
    <xf numFmtId="0" fontId="14" fillId="0" borderId="19" xfId="0" applyFont="1" applyBorder="1" applyAlignment="1">
      <alignment horizontal="center" vertical="center" wrapText="1"/>
    </xf>
    <xf numFmtId="0" fontId="14" fillId="0" borderId="19" xfId="0" applyFont="1" applyBorder="1" applyAlignment="1">
      <alignment horizontal="center" vertical="center"/>
    </xf>
    <xf numFmtId="0" fontId="6" fillId="0" borderId="19" xfId="0" applyFont="1" applyBorder="1" applyAlignment="1">
      <alignment horizontal="center" vertical="top"/>
    </xf>
    <xf numFmtId="0" fontId="16" fillId="3" borderId="19" xfId="0" applyFont="1" applyFill="1" applyBorder="1" applyAlignment="1">
      <alignment horizontal="center"/>
    </xf>
    <xf numFmtId="0" fontId="16" fillId="3" borderId="3" xfId="0" applyFont="1" applyFill="1" applyBorder="1" applyAlignment="1">
      <alignment horizontal="center"/>
    </xf>
    <xf numFmtId="0" fontId="16" fillId="3" borderId="4" xfId="0" applyFont="1" applyFill="1" applyBorder="1" applyAlignment="1">
      <alignment horizontal="center"/>
    </xf>
    <xf numFmtId="0" fontId="1" fillId="0" borderId="2" xfId="0" applyFont="1" applyBorder="1" applyAlignment="1">
      <alignment horizontal="right"/>
    </xf>
    <xf numFmtId="0" fontId="1" fillId="0" borderId="9" xfId="0" applyFont="1" applyBorder="1" applyAlignment="1">
      <alignment horizontal="right"/>
    </xf>
    <xf numFmtId="0" fontId="1" fillId="0" borderId="10" xfId="0" applyFont="1" applyBorder="1" applyAlignment="1">
      <alignment horizontal="right"/>
    </xf>
    <xf numFmtId="0" fontId="1" fillId="0" borderId="11" xfId="0" applyFont="1" applyBorder="1" applyAlignment="1">
      <alignment horizontal="right"/>
    </xf>
    <xf numFmtId="3" fontId="6" fillId="0" borderId="6" xfId="0" applyNumberFormat="1" applyFont="1" applyBorder="1" applyAlignment="1">
      <alignment horizontal="center"/>
    </xf>
    <xf numFmtId="3" fontId="6" fillId="0" borderId="7" xfId="0" applyNumberFormat="1" applyFont="1" applyBorder="1" applyAlignment="1">
      <alignment horizontal="center"/>
    </xf>
    <xf numFmtId="3" fontId="6" fillId="0" borderId="8" xfId="0" applyNumberFormat="1" applyFont="1" applyBorder="1" applyAlignment="1">
      <alignment horizontal="center"/>
    </xf>
    <xf numFmtId="3" fontId="6" fillId="0" borderId="5" xfId="0" applyNumberFormat="1" applyFont="1" applyBorder="1" applyAlignment="1">
      <alignment horizontal="center"/>
    </xf>
    <xf numFmtId="3" fontId="6" fillId="0" borderId="1" xfId="0" applyNumberFormat="1" applyFont="1" applyBorder="1" applyAlignment="1">
      <alignment horizontal="center"/>
    </xf>
    <xf numFmtId="3" fontId="6" fillId="0" borderId="2" xfId="0" applyNumberFormat="1" applyFont="1" applyBorder="1" applyAlignment="1">
      <alignment horizontal="center"/>
    </xf>
    <xf numFmtId="0" fontId="6" fillId="0" borderId="3" xfId="0" applyFont="1" applyBorder="1" applyAlignment="1">
      <alignment horizontal="center" wrapText="1"/>
    </xf>
    <xf numFmtId="0" fontId="6" fillId="0" borderId="0" xfId="0" applyFont="1" applyAlignment="1">
      <alignment horizontal="center" wrapText="1"/>
    </xf>
    <xf numFmtId="0" fontId="6" fillId="0" borderId="4" xfId="0" applyFont="1" applyBorder="1" applyAlignment="1">
      <alignment horizontal="center" wrapText="1"/>
    </xf>
    <xf numFmtId="0" fontId="6" fillId="0" borderId="21" xfId="0" applyFont="1" applyBorder="1" applyAlignment="1">
      <alignment horizontal="center" wrapText="1"/>
    </xf>
    <xf numFmtId="0" fontId="6" fillId="0" borderId="22" xfId="0" applyFont="1" applyBorder="1" applyAlignment="1">
      <alignment horizontal="center" wrapText="1"/>
    </xf>
    <xf numFmtId="0" fontId="6" fillId="0" borderId="23" xfId="0" applyFont="1" applyBorder="1" applyAlignment="1">
      <alignment horizontal="center" wrapText="1"/>
    </xf>
    <xf numFmtId="0" fontId="6" fillId="0" borderId="7" xfId="0" applyFont="1" applyBorder="1" applyAlignment="1">
      <alignment horizontal="center"/>
    </xf>
    <xf numFmtId="0" fontId="6" fillId="0" borderId="8" xfId="0" applyFont="1" applyBorder="1" applyAlignment="1">
      <alignment horizontal="center"/>
    </xf>
    <xf numFmtId="0" fontId="6" fillId="0" borderId="5"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3" fillId="0" borderId="9" xfId="0" applyFont="1" applyBorder="1" applyAlignment="1">
      <alignment horizontal="center" vertical="center"/>
    </xf>
    <xf numFmtId="0" fontId="13" fillId="0" borderId="6" xfId="0" applyFont="1" applyBorder="1" applyAlignment="1">
      <alignment horizontal="justify" wrapText="1"/>
    </xf>
    <xf numFmtId="0" fontId="13" fillId="0" borderId="7" xfId="0" applyFont="1" applyBorder="1" applyAlignment="1">
      <alignment horizontal="justify"/>
    </xf>
    <xf numFmtId="0" fontId="13" fillId="0" borderId="8" xfId="0" applyFont="1" applyBorder="1" applyAlignment="1">
      <alignment horizontal="justify"/>
    </xf>
    <xf numFmtId="0" fontId="13" fillId="0" borderId="3" xfId="0" applyFont="1" applyBorder="1" applyAlignment="1">
      <alignment horizontal="justify"/>
    </xf>
    <xf numFmtId="0" fontId="13" fillId="0" borderId="0" xfId="0" applyFont="1" applyAlignment="1">
      <alignment horizontal="justify"/>
    </xf>
    <xf numFmtId="0" fontId="13" fillId="0" borderId="4" xfId="0" applyFont="1" applyBorder="1" applyAlignment="1">
      <alignment horizontal="justify"/>
    </xf>
    <xf numFmtId="0" fontId="6" fillId="0" borderId="9" xfId="0" applyFont="1" applyBorder="1" applyAlignment="1">
      <alignment horizontal="center" vertical="center"/>
    </xf>
    <xf numFmtId="0" fontId="6" fillId="0" borderId="12" xfId="0" applyFont="1" applyBorder="1" applyAlignment="1">
      <alignment horizontal="center" vertical="center"/>
    </xf>
    <xf numFmtId="0" fontId="6" fillId="0" borderId="6" xfId="0" applyFont="1" applyBorder="1" applyAlignment="1">
      <alignment horizontal="center" vertical="center"/>
    </xf>
    <xf numFmtId="0" fontId="3" fillId="0" borderId="2"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11" xfId="0" applyFont="1" applyBorder="1" applyAlignment="1">
      <alignment horizontal="center" vertical="top" wrapText="1"/>
    </xf>
    <xf numFmtId="0" fontId="3" fillId="0" borderId="11" xfId="0" applyFont="1" applyBorder="1" applyAlignment="1">
      <alignment horizontal="center" vertical="top"/>
    </xf>
    <xf numFmtId="0" fontId="6" fillId="0" borderId="5" xfId="0" applyFont="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3" fillId="0" borderId="19" xfId="0" applyFont="1" applyBorder="1" applyAlignment="1">
      <alignment horizontal="center" vertical="center"/>
    </xf>
    <xf numFmtId="0" fontId="3" fillId="0" borderId="20" xfId="0" applyFont="1" applyBorder="1" applyAlignment="1">
      <alignment horizontal="center" wrapText="1"/>
    </xf>
    <xf numFmtId="0" fontId="3" fillId="0" borderId="10" xfId="0" applyFont="1" applyBorder="1" applyAlignment="1">
      <alignment horizontal="center" wrapText="1"/>
    </xf>
    <xf numFmtId="0" fontId="3" fillId="0" borderId="13" xfId="0" applyFont="1" applyBorder="1" applyAlignment="1">
      <alignment horizontal="left" vertical="top"/>
    </xf>
    <xf numFmtId="0" fontId="3" fillId="0" borderId="14" xfId="0" applyFont="1" applyBorder="1" applyAlignment="1">
      <alignment horizontal="left" vertical="top"/>
    </xf>
    <xf numFmtId="0" fontId="3" fillId="0" borderId="15" xfId="0" applyFont="1" applyBorder="1" applyAlignment="1">
      <alignment horizontal="left" vertical="top"/>
    </xf>
    <xf numFmtId="0" fontId="3" fillId="0" borderId="4" xfId="0" applyFont="1" applyBorder="1" applyAlignment="1">
      <alignment horizontal="left" vertical="top"/>
    </xf>
    <xf numFmtId="0" fontId="3" fillId="0" borderId="1" xfId="0" applyFont="1" applyBorder="1" applyAlignment="1">
      <alignment horizontal="left" vertical="top"/>
    </xf>
    <xf numFmtId="0" fontId="6" fillId="0" borderId="3" xfId="0" applyFont="1" applyBorder="1" applyAlignment="1">
      <alignment horizontal="left" vertical="center"/>
    </xf>
    <xf numFmtId="0" fontId="6" fillId="0" borderId="0" xfId="0" applyFont="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0" fontId="3" fillId="0" borderId="12" xfId="0" applyFont="1" applyBorder="1" applyAlignment="1">
      <alignment horizontal="left" vertical="top"/>
    </xf>
    <xf numFmtId="0" fontId="9" fillId="0" borderId="3" xfId="0" applyFont="1" applyBorder="1" applyAlignment="1">
      <alignment horizontal="left" vertical="center" wrapText="1"/>
    </xf>
    <xf numFmtId="0" fontId="9" fillId="0" borderId="0" xfId="0" applyFont="1" applyAlignment="1">
      <alignment horizontal="left" vertical="center"/>
    </xf>
    <xf numFmtId="0" fontId="9" fillId="0" borderId="3" xfId="0" applyFont="1" applyBorder="1" applyAlignment="1">
      <alignment horizontal="left" vertical="center"/>
    </xf>
    <xf numFmtId="0" fontId="9" fillId="0" borderId="1" xfId="0" applyFont="1" applyBorder="1" applyAlignment="1">
      <alignment horizontal="left" vertical="center"/>
    </xf>
    <xf numFmtId="0" fontId="9" fillId="0" borderId="2" xfId="0" applyFont="1" applyBorder="1" applyAlignment="1">
      <alignment horizontal="left" vertical="center"/>
    </xf>
    <xf numFmtId="0" fontId="11" fillId="0" borderId="10" xfId="0" applyFont="1" applyBorder="1" applyAlignment="1">
      <alignment horizontal="justify" vertical="top" wrapText="1"/>
    </xf>
    <xf numFmtId="0" fontId="11" fillId="0" borderId="11" xfId="0" applyFont="1" applyBorder="1" applyAlignment="1">
      <alignment horizontal="justify" vertical="top"/>
    </xf>
    <xf numFmtId="0" fontId="11" fillId="0" borderId="10" xfId="0" applyFont="1" applyBorder="1" applyAlignment="1">
      <alignment horizontal="justify" vertical="top"/>
    </xf>
    <xf numFmtId="0" fontId="6" fillId="0" borderId="3" xfId="0" applyFont="1" applyBorder="1" applyAlignment="1">
      <alignment horizontal="left" vertical="top"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3" fillId="0" borderId="6" xfId="0" applyFont="1" applyBorder="1" applyAlignment="1">
      <alignment horizontal="left" vertical="top"/>
    </xf>
    <xf numFmtId="0" fontId="54" fillId="0" borderId="148" xfId="0" applyFont="1" applyBorder="1" applyAlignment="1">
      <alignment horizontal="center"/>
    </xf>
    <xf numFmtId="0" fontId="2" fillId="0" borderId="149" xfId="0" applyFont="1" applyBorder="1" applyAlignment="1">
      <alignment horizontal="center"/>
    </xf>
    <xf numFmtId="0" fontId="2" fillId="0" borderId="0" xfId="0" applyFont="1" applyAlignment="1">
      <alignment horizontal="center"/>
    </xf>
    <xf numFmtId="0" fontId="2" fillId="0" borderId="150" xfId="0" applyFont="1" applyBorder="1" applyAlignment="1">
      <alignment horizontal="center"/>
    </xf>
    <xf numFmtId="0" fontId="54" fillId="0" borderId="0" xfId="0" applyFont="1" applyAlignment="1">
      <alignment horizontal="left"/>
    </xf>
    <xf numFmtId="0" fontId="54" fillId="0" borderId="0" xfId="0" applyFont="1" applyAlignment="1">
      <alignment horizontal="center"/>
    </xf>
    <xf numFmtId="0" fontId="61" fillId="0" borderId="155" xfId="0" applyFont="1" applyBorder="1" applyAlignment="1">
      <alignment horizontal="left" vertical="center"/>
    </xf>
    <xf numFmtId="0" fontId="61" fillId="0" borderId="156" xfId="0" applyFont="1" applyBorder="1" applyAlignment="1">
      <alignment horizontal="left" vertical="center"/>
    </xf>
    <xf numFmtId="0" fontId="61" fillId="0" borderId="157" xfId="0" applyFont="1" applyBorder="1" applyAlignment="1">
      <alignment horizontal="left" vertical="center"/>
    </xf>
    <xf numFmtId="0" fontId="56" fillId="0" borderId="149" xfId="0" applyFont="1" applyBorder="1" applyAlignment="1">
      <alignment horizontal="left" vertical="top"/>
    </xf>
    <xf numFmtId="0" fontId="56" fillId="0" borderId="0" xfId="0" applyFont="1" applyAlignment="1">
      <alignment horizontal="left" vertical="top"/>
    </xf>
    <xf numFmtId="0" fontId="56" fillId="0" borderId="150" xfId="0" applyFont="1" applyBorder="1" applyAlignment="1">
      <alignment horizontal="left" vertical="top"/>
    </xf>
    <xf numFmtId="0" fontId="56" fillId="0" borderId="3" xfId="0" applyFont="1" applyBorder="1" applyAlignment="1">
      <alignment horizontal="left" vertical="top"/>
    </xf>
    <xf numFmtId="0" fontId="56" fillId="0" borderId="166" xfId="0" applyFont="1" applyBorder="1" applyAlignment="1">
      <alignment horizontal="left" vertical="top"/>
    </xf>
    <xf numFmtId="0" fontId="56" fillId="0" borderId="159" xfId="0" applyFont="1" applyBorder="1" applyAlignment="1">
      <alignment horizontal="left" vertical="top"/>
    </xf>
    <xf numFmtId="0" fontId="56" fillId="0" borderId="160" xfId="0" applyFont="1" applyBorder="1" applyAlignment="1">
      <alignment horizontal="left" vertical="top"/>
    </xf>
    <xf numFmtId="0" fontId="56" fillId="0" borderId="167" xfId="0" applyFont="1" applyBorder="1" applyAlignment="1">
      <alignment horizontal="left" vertical="top"/>
    </xf>
    <xf numFmtId="0" fontId="56" fillId="0" borderId="163" xfId="0" applyFont="1" applyBorder="1" applyAlignment="1">
      <alignment horizontal="left" vertical="top"/>
    </xf>
    <xf numFmtId="0" fontId="56" fillId="0" borderId="164" xfId="0" applyFont="1" applyBorder="1" applyAlignment="1">
      <alignment horizontal="left" vertical="top"/>
    </xf>
    <xf numFmtId="0" fontId="5" fillId="0" borderId="151" xfId="0" applyFont="1" applyBorder="1" applyAlignment="1">
      <alignment horizontal="center" vertical="center"/>
    </xf>
    <xf numFmtId="0" fontId="5" fillId="0" borderId="152" xfId="0" applyFont="1" applyBorder="1" applyAlignment="1">
      <alignment horizontal="center" vertical="center"/>
    </xf>
    <xf numFmtId="0" fontId="5" fillId="0" borderId="150" xfId="0" applyFont="1" applyBorder="1" applyAlignment="1">
      <alignment horizontal="center" vertical="center"/>
    </xf>
    <xf numFmtId="0" fontId="5" fillId="0" borderId="148" xfId="0" applyFont="1" applyBorder="1" applyAlignment="1">
      <alignment horizontal="center" vertical="center"/>
    </xf>
    <xf numFmtId="0" fontId="5" fillId="0" borderId="153" xfId="0" applyFont="1" applyBorder="1" applyAlignment="1">
      <alignment horizontal="center" vertical="center"/>
    </xf>
    <xf numFmtId="0" fontId="60" fillId="0" borderId="149" xfId="0" applyFont="1" applyBorder="1" applyAlignment="1">
      <alignment horizontal="left" vertical="center" wrapText="1"/>
    </xf>
    <xf numFmtId="0" fontId="60" fillId="0" borderId="0" xfId="0" applyFont="1" applyAlignment="1">
      <alignment horizontal="left" vertical="center"/>
    </xf>
    <xf numFmtId="0" fontId="60" fillId="0" borderId="150" xfId="0" applyFont="1" applyBorder="1" applyAlignment="1">
      <alignment horizontal="left" vertical="center"/>
    </xf>
    <xf numFmtId="0" fontId="60" fillId="0" borderId="149" xfId="0" applyFont="1" applyBorder="1" applyAlignment="1">
      <alignment horizontal="left" vertical="center"/>
    </xf>
    <xf numFmtId="0" fontId="60" fillId="0" borderId="154" xfId="0" applyFont="1" applyBorder="1" applyAlignment="1">
      <alignment horizontal="left" vertical="center"/>
    </xf>
    <xf numFmtId="0" fontId="60" fillId="0" borderId="148" xfId="0" applyFont="1" applyBorder="1" applyAlignment="1">
      <alignment horizontal="left" vertical="center"/>
    </xf>
    <xf numFmtId="0" fontId="60" fillId="0" borderId="153" xfId="0" applyFont="1" applyBorder="1" applyAlignment="1">
      <alignment horizontal="left" vertical="center"/>
    </xf>
    <xf numFmtId="0" fontId="58" fillId="0" borderId="149" xfId="0" applyFont="1" applyBorder="1" applyAlignment="1">
      <alignment horizontal="left" vertical="top" wrapText="1"/>
    </xf>
    <xf numFmtId="0" fontId="58" fillId="0" borderId="0" xfId="0" applyFont="1" applyAlignment="1">
      <alignment horizontal="left" vertical="top"/>
    </xf>
    <xf numFmtId="0" fontId="58" fillId="0" borderId="150" xfId="0" applyFont="1" applyBorder="1" applyAlignment="1">
      <alignment horizontal="left" vertical="top"/>
    </xf>
    <xf numFmtId="0" fontId="58" fillId="0" borderId="149" xfId="0" applyFont="1" applyBorder="1" applyAlignment="1">
      <alignment horizontal="left" vertical="top"/>
    </xf>
    <xf numFmtId="0" fontId="58" fillId="0" borderId="154" xfId="0" applyFont="1" applyBorder="1" applyAlignment="1">
      <alignment horizontal="left" vertical="top"/>
    </xf>
    <xf numFmtId="0" fontId="58" fillId="0" borderId="148" xfId="0" applyFont="1" applyBorder="1" applyAlignment="1">
      <alignment horizontal="left" vertical="top"/>
    </xf>
    <xf numFmtId="0" fontId="58" fillId="0" borderId="153" xfId="0" applyFont="1" applyBorder="1" applyAlignment="1">
      <alignment horizontal="left" vertical="top"/>
    </xf>
    <xf numFmtId="0" fontId="58" fillId="0" borderId="149" xfId="0" applyFont="1" applyBorder="1" applyAlignment="1">
      <alignment horizontal="left" vertical="center"/>
    </xf>
    <xf numFmtId="0" fontId="58" fillId="0" borderId="0" xfId="0" applyFont="1" applyAlignment="1">
      <alignment horizontal="left" vertical="center"/>
    </xf>
    <xf numFmtId="0" fontId="58" fillId="0" borderId="150" xfId="0" applyFont="1" applyBorder="1" applyAlignment="1">
      <alignment horizontal="left" vertical="center"/>
    </xf>
    <xf numFmtId="0" fontId="58" fillId="0" borderId="154" xfId="0" applyFont="1" applyBorder="1" applyAlignment="1">
      <alignment horizontal="left" vertical="center"/>
    </xf>
    <xf numFmtId="0" fontId="58" fillId="0" borderId="148" xfId="0" applyFont="1" applyBorder="1" applyAlignment="1">
      <alignment horizontal="left" vertical="center"/>
    </xf>
    <xf numFmtId="0" fontId="58" fillId="0" borderId="153" xfId="0" applyFont="1" applyBorder="1" applyAlignment="1">
      <alignment horizontal="left" vertical="center"/>
    </xf>
    <xf numFmtId="0" fontId="62" fillId="0" borderId="158" xfId="0" applyFont="1" applyBorder="1" applyAlignment="1">
      <alignment horizontal="justify" vertical="top" wrapText="1"/>
    </xf>
    <xf numFmtId="0" fontId="62" fillId="0" borderId="159" xfId="0" applyFont="1" applyBorder="1" applyAlignment="1">
      <alignment horizontal="justify" vertical="top"/>
    </xf>
    <xf numFmtId="0" fontId="62" fillId="0" borderId="160" xfId="0" applyFont="1" applyBorder="1" applyAlignment="1">
      <alignment horizontal="justify" vertical="top"/>
    </xf>
    <xf numFmtId="0" fontId="62" fillId="0" borderId="10" xfId="0" applyFont="1" applyBorder="1" applyAlignment="1">
      <alignment horizontal="justify" vertical="top"/>
    </xf>
    <xf numFmtId="0" fontId="62" fillId="0" borderId="11" xfId="0" applyFont="1" applyBorder="1" applyAlignment="1">
      <alignment horizontal="justify" vertical="top"/>
    </xf>
    <xf numFmtId="0" fontId="62" fillId="0" borderId="161" xfId="0" applyFont="1" applyBorder="1" applyAlignment="1">
      <alignment horizontal="justify" vertical="top"/>
    </xf>
    <xf numFmtId="0" fontId="62" fillId="0" borderId="162" xfId="0" applyFont="1" applyBorder="1" applyAlignment="1">
      <alignment horizontal="justify" vertical="top"/>
    </xf>
    <xf numFmtId="0" fontId="62" fillId="0" borderId="163" xfId="0" applyFont="1" applyBorder="1" applyAlignment="1">
      <alignment horizontal="justify" vertical="top"/>
    </xf>
    <xf numFmtId="0" fontId="62" fillId="0" borderId="164" xfId="0" applyFont="1" applyBorder="1" applyAlignment="1">
      <alignment horizontal="justify" vertical="top"/>
    </xf>
    <xf numFmtId="0" fontId="58" fillId="0" borderId="3" xfId="0" applyFont="1" applyBorder="1" applyAlignment="1">
      <alignment horizontal="left" vertical="center"/>
    </xf>
    <xf numFmtId="0" fontId="63" fillId="0" borderId="165" xfId="0" applyFont="1" applyBorder="1" applyAlignment="1">
      <alignment horizontal="left" vertical="top"/>
    </xf>
    <xf numFmtId="0" fontId="63" fillId="0" borderId="151" xfId="0" applyFont="1" applyBorder="1" applyAlignment="1">
      <alignment horizontal="left" vertical="top"/>
    </xf>
    <xf numFmtId="0" fontId="63" fillId="0" borderId="152" xfId="0" applyFont="1" applyBorder="1" applyAlignment="1">
      <alignment horizontal="left" vertical="top"/>
    </xf>
    <xf numFmtId="0" fontId="56" fillId="0" borderId="0" xfId="0" applyFont="1" applyAlignment="1">
      <alignment horizontal="center" vertical="center"/>
    </xf>
    <xf numFmtId="0" fontId="56" fillId="0" borderId="168" xfId="0" applyFont="1" applyBorder="1" applyAlignment="1">
      <alignment horizontal="center" vertical="center"/>
    </xf>
    <xf numFmtId="0" fontId="56" fillId="0" borderId="156" xfId="0" applyFont="1" applyBorder="1" applyAlignment="1">
      <alignment horizontal="center" vertical="center"/>
    </xf>
    <xf numFmtId="0" fontId="56" fillId="0" borderId="157" xfId="0" applyFont="1" applyBorder="1" applyAlignment="1">
      <alignment horizontal="center" vertical="center"/>
    </xf>
    <xf numFmtId="0" fontId="56" fillId="0" borderId="165" xfId="0" applyFont="1" applyBorder="1" applyAlignment="1">
      <alignment horizontal="center" vertical="center" wrapText="1"/>
    </xf>
    <xf numFmtId="0" fontId="56" fillId="0" borderId="151" xfId="0" applyFont="1" applyBorder="1" applyAlignment="1">
      <alignment horizontal="center" vertical="center" wrapText="1"/>
    </xf>
    <xf numFmtId="0" fontId="56" fillId="0" borderId="152" xfId="0" applyFont="1" applyBorder="1" applyAlignment="1">
      <alignment horizontal="center" vertical="center" wrapText="1"/>
    </xf>
    <xf numFmtId="0" fontId="58" fillId="0" borderId="149" xfId="0" applyFont="1" applyBorder="1" applyAlignment="1">
      <alignment horizontal="center" vertical="top"/>
    </xf>
    <xf numFmtId="0" fontId="58" fillId="0" borderId="0" xfId="0" applyFont="1" applyAlignment="1">
      <alignment horizontal="center" vertical="top"/>
    </xf>
    <xf numFmtId="0" fontId="58" fillId="0" borderId="148" xfId="0" applyFont="1" applyBorder="1" applyAlignment="1">
      <alignment horizontal="center" vertical="top"/>
    </xf>
    <xf numFmtId="0" fontId="58" fillId="0" borderId="153" xfId="0" applyFont="1" applyBorder="1" applyAlignment="1">
      <alignment horizontal="center" vertical="top"/>
    </xf>
    <xf numFmtId="0" fontId="58" fillId="0" borderId="0" xfId="0" applyFont="1" applyAlignment="1">
      <alignment horizontal="center" vertical="center"/>
    </xf>
    <xf numFmtId="0" fontId="64" fillId="0" borderId="171" xfId="0" applyFont="1" applyBorder="1" applyAlignment="1">
      <alignment horizontal="center" vertical="top" wrapText="1"/>
    </xf>
    <xf numFmtId="0" fontId="64" fillId="0" borderId="172" xfId="0" applyFont="1" applyBorder="1" applyAlignment="1">
      <alignment horizontal="center" vertical="top"/>
    </xf>
    <xf numFmtId="0" fontId="64" fillId="0" borderId="168" xfId="0" applyFont="1" applyBorder="1" applyAlignment="1">
      <alignment horizontal="center" vertical="top" wrapText="1"/>
    </xf>
    <xf numFmtId="0" fontId="64" fillId="0" borderId="157" xfId="0" applyFont="1" applyBorder="1" applyAlignment="1">
      <alignment horizontal="center" vertical="top"/>
    </xf>
    <xf numFmtId="0" fontId="64" fillId="0" borderId="168" xfId="0" applyFont="1" applyBorder="1" applyAlignment="1">
      <alignment horizontal="center" vertical="top"/>
    </xf>
    <xf numFmtId="0" fontId="58" fillId="0" borderId="154" xfId="0" applyFont="1" applyBorder="1" applyAlignment="1">
      <alignment horizontal="center" vertical="top" wrapText="1"/>
    </xf>
    <xf numFmtId="0" fontId="58" fillId="0" borderId="148" xfId="0" applyFont="1" applyBorder="1" applyAlignment="1">
      <alignment horizontal="center" vertical="top" wrapText="1"/>
    </xf>
    <xf numFmtId="0" fontId="58" fillId="0" borderId="153" xfId="0" applyFont="1" applyBorder="1" applyAlignment="1">
      <alignment horizontal="center" vertical="top" wrapText="1"/>
    </xf>
    <xf numFmtId="0" fontId="58" fillId="0" borderId="166" xfId="0" applyFont="1" applyBorder="1" applyAlignment="1">
      <alignment horizontal="center" vertical="center"/>
    </xf>
    <xf numFmtId="0" fontId="58" fillId="0" borderId="159" xfId="0" applyFont="1" applyBorder="1" applyAlignment="1">
      <alignment horizontal="center" vertical="center"/>
    </xf>
    <xf numFmtId="0" fontId="58" fillId="0" borderId="160" xfId="0" applyFont="1" applyBorder="1" applyAlignment="1">
      <alignment horizontal="center" vertical="center"/>
    </xf>
    <xf numFmtId="0" fontId="58" fillId="0" borderId="169" xfId="0" applyFont="1" applyBorder="1" applyAlignment="1">
      <alignment horizontal="center" vertical="center"/>
    </xf>
    <xf numFmtId="0" fontId="58" fillId="0" borderId="12" xfId="0" applyFont="1" applyBorder="1" applyAlignment="1">
      <alignment horizontal="center" vertical="center"/>
    </xf>
    <xf numFmtId="0" fontId="58" fillId="0" borderId="170" xfId="0" applyFont="1" applyBorder="1" applyAlignment="1">
      <alignment horizontal="center" vertical="center"/>
    </xf>
    <xf numFmtId="0" fontId="56" fillId="0" borderId="166" xfId="0" applyFont="1" applyBorder="1" applyAlignment="1">
      <alignment horizontal="left" vertical="top" wrapText="1"/>
    </xf>
    <xf numFmtId="0" fontId="56" fillId="0" borderId="12" xfId="0" applyFont="1" applyBorder="1" applyAlignment="1">
      <alignment horizontal="left" vertical="top"/>
    </xf>
    <xf numFmtId="0" fontId="56" fillId="0" borderId="170" xfId="0" applyFont="1" applyBorder="1" applyAlignment="1">
      <alignment horizontal="left" vertical="top"/>
    </xf>
    <xf numFmtId="0" fontId="56" fillId="0" borderId="169" xfId="0" applyFont="1" applyBorder="1" applyAlignment="1">
      <alignment horizontal="left" vertical="top"/>
    </xf>
    <xf numFmtId="0" fontId="56" fillId="0" borderId="166" xfId="0" applyFont="1" applyBorder="1" applyAlignment="1">
      <alignment horizontal="center" vertical="top" wrapText="1"/>
    </xf>
    <xf numFmtId="0" fontId="56" fillId="0" borderId="160" xfId="0" applyFont="1" applyBorder="1" applyAlignment="1">
      <alignment horizontal="center" vertical="top"/>
    </xf>
    <xf numFmtId="0" fontId="56" fillId="0" borderId="169" xfId="0" applyFont="1" applyBorder="1" applyAlignment="1">
      <alignment horizontal="center" vertical="top"/>
    </xf>
    <xf numFmtId="0" fontId="56" fillId="0" borderId="170" xfId="0" applyFont="1" applyBorder="1" applyAlignment="1">
      <alignment horizontal="center" vertical="top"/>
    </xf>
    <xf numFmtId="0" fontId="56" fillId="0" borderId="165" xfId="0" applyFont="1" applyBorder="1" applyAlignment="1">
      <alignment horizontal="left" vertical="top" wrapText="1"/>
    </xf>
    <xf numFmtId="0" fontId="56" fillId="0" borderId="151" xfId="0" applyFont="1" applyBorder="1" applyAlignment="1">
      <alignment horizontal="left" vertical="top"/>
    </xf>
    <xf numFmtId="0" fontId="56" fillId="0" borderId="152" xfId="0" applyFont="1" applyBorder="1" applyAlignment="1">
      <alignment horizontal="left" vertical="top"/>
    </xf>
    <xf numFmtId="0" fontId="56" fillId="0" borderId="154" xfId="0" applyFont="1" applyBorder="1" applyAlignment="1">
      <alignment horizontal="left" vertical="top"/>
    </xf>
    <xf numFmtId="0" fontId="56" fillId="0" borderId="148" xfId="0" applyFont="1" applyBorder="1" applyAlignment="1">
      <alignment horizontal="left" vertical="top"/>
    </xf>
    <xf numFmtId="0" fontId="56" fillId="0" borderId="153" xfId="0" applyFont="1" applyBorder="1" applyAlignment="1">
      <alignment horizontal="left" vertical="top"/>
    </xf>
    <xf numFmtId="0" fontId="56" fillId="0" borderId="173" xfId="0" applyFont="1" applyBorder="1" applyAlignment="1">
      <alignment horizontal="left" vertical="top"/>
    </xf>
    <xf numFmtId="0" fontId="56" fillId="0" borderId="174" xfId="0" applyFont="1" applyBorder="1" applyAlignment="1">
      <alignment horizontal="left" vertical="top"/>
    </xf>
    <xf numFmtId="0" fontId="56" fillId="0" borderId="175" xfId="0" applyFont="1" applyBorder="1" applyAlignment="1">
      <alignment horizontal="left" vertical="top"/>
    </xf>
    <xf numFmtId="0" fontId="56" fillId="0" borderId="151" xfId="0" applyFont="1" applyBorder="1" applyAlignment="1">
      <alignment horizontal="center" vertical="center"/>
    </xf>
    <xf numFmtId="0" fontId="56" fillId="0" borderId="152" xfId="0" applyFont="1" applyBorder="1" applyAlignment="1">
      <alignment horizontal="center" vertical="center"/>
    </xf>
    <xf numFmtId="0" fontId="58" fillId="0" borderId="177" xfId="0" applyFont="1" applyBorder="1" applyAlignment="1">
      <alignment horizontal="center" vertical="top"/>
    </xf>
    <xf numFmtId="0" fontId="58" fillId="0" borderId="178" xfId="0" applyFont="1" applyBorder="1" applyAlignment="1">
      <alignment horizontal="center" vertical="top"/>
    </xf>
    <xf numFmtId="0" fontId="58" fillId="0" borderId="179" xfId="0" applyFont="1" applyBorder="1" applyAlignment="1">
      <alignment horizontal="center" vertical="top"/>
    </xf>
    <xf numFmtId="15" fontId="15" fillId="0" borderId="182" xfId="0" applyNumberFormat="1" applyFont="1" applyBorder="1" applyAlignment="1">
      <alignment horizontal="center" vertical="top"/>
    </xf>
    <xf numFmtId="0" fontId="15" fillId="0" borderId="148" xfId="0" applyFont="1" applyBorder="1" applyAlignment="1">
      <alignment horizontal="center" vertical="top"/>
    </xf>
    <xf numFmtId="0" fontId="15" fillId="0" borderId="153" xfId="0" applyFont="1" applyBorder="1" applyAlignment="1">
      <alignment horizontal="center" vertical="top"/>
    </xf>
    <xf numFmtId="0" fontId="58" fillId="0" borderId="150" xfId="0" applyFont="1" applyBorder="1" applyAlignment="1">
      <alignment horizontal="center" vertical="center"/>
    </xf>
    <xf numFmtId="0" fontId="56" fillId="0" borderId="4" xfId="0" applyFont="1" applyBorder="1" applyAlignment="1">
      <alignment horizontal="center" vertical="center"/>
    </xf>
    <xf numFmtId="0" fontId="56" fillId="0" borderId="19" xfId="0" applyFont="1" applyBorder="1" applyAlignment="1">
      <alignment horizontal="center" vertical="center"/>
    </xf>
    <xf numFmtId="0" fontId="56" fillId="0" borderId="3" xfId="0" applyFont="1" applyBorder="1" applyAlignment="1">
      <alignment horizontal="center" vertical="center"/>
    </xf>
    <xf numFmtId="0" fontId="60" fillId="0" borderId="149" xfId="0" applyFont="1" applyBorder="1" applyAlignment="1">
      <alignment horizontal="center" vertical="top" wrapText="1"/>
    </xf>
    <xf numFmtId="0" fontId="60" fillId="0" borderId="0" xfId="0" applyFont="1" applyAlignment="1">
      <alignment horizontal="center" vertical="top" wrapText="1"/>
    </xf>
    <xf numFmtId="0" fontId="60" fillId="0" borderId="150" xfId="0" applyFont="1" applyBorder="1" applyAlignment="1">
      <alignment horizontal="center" vertical="top" wrapText="1"/>
    </xf>
    <xf numFmtId="0" fontId="60" fillId="0" borderId="154" xfId="0" applyFont="1" applyBorder="1" applyAlignment="1">
      <alignment horizontal="center" vertical="top" wrapText="1"/>
    </xf>
    <xf numFmtId="0" fontId="60" fillId="0" borderId="148" xfId="0" applyFont="1" applyBorder="1" applyAlignment="1">
      <alignment horizontal="center" vertical="top" wrapText="1"/>
    </xf>
    <xf numFmtId="0" fontId="60" fillId="0" borderId="153" xfId="0" applyFont="1" applyBorder="1" applyAlignment="1">
      <alignment horizontal="center" vertical="top" wrapText="1"/>
    </xf>
    <xf numFmtId="15" fontId="58" fillId="0" borderId="188" xfId="0" applyNumberFormat="1" applyFont="1" applyBorder="1" applyAlignment="1">
      <alignment horizontal="center"/>
    </xf>
    <xf numFmtId="0" fontId="58" fillId="0" borderId="188" xfId="0" applyFont="1" applyBorder="1" applyAlignment="1">
      <alignment horizontal="center"/>
    </xf>
    <xf numFmtId="0" fontId="56" fillId="0" borderId="154" xfId="0" applyFont="1" applyBorder="1" applyAlignment="1">
      <alignment horizontal="center" vertical="center"/>
    </xf>
    <xf numFmtId="0" fontId="56" fillId="0" borderId="148" xfId="0" applyFont="1" applyBorder="1" applyAlignment="1">
      <alignment horizontal="center" vertical="center"/>
    </xf>
    <xf numFmtId="0" fontId="56" fillId="0" borderId="153" xfId="0" applyFont="1" applyBorder="1" applyAlignment="1">
      <alignment horizontal="center" vertical="center"/>
    </xf>
    <xf numFmtId="0" fontId="19" fillId="0" borderId="165" xfId="0" applyFont="1" applyBorder="1" applyAlignment="1">
      <alignment horizontal="center"/>
    </xf>
    <xf numFmtId="0" fontId="19" fillId="0" borderId="151" xfId="0" applyFont="1" applyBorder="1" applyAlignment="1">
      <alignment horizontal="center"/>
    </xf>
    <xf numFmtId="0" fontId="19" fillId="0" borderId="152" xfId="0" applyFont="1" applyBorder="1" applyAlignment="1">
      <alignment horizontal="center"/>
    </xf>
    <xf numFmtId="0" fontId="19" fillId="0" borderId="154" xfId="0" applyFont="1" applyBorder="1" applyAlignment="1">
      <alignment horizontal="center"/>
    </xf>
    <xf numFmtId="0" fontId="19" fillId="0" borderId="148" xfId="0" applyFont="1" applyBorder="1" applyAlignment="1">
      <alignment horizontal="center"/>
    </xf>
    <xf numFmtId="0" fontId="19" fillId="0" borderId="153" xfId="0" applyFont="1" applyBorder="1" applyAlignment="1">
      <alignment horizontal="center"/>
    </xf>
    <xf numFmtId="0" fontId="17" fillId="0" borderId="165" xfId="0" applyFont="1" applyBorder="1" applyAlignment="1">
      <alignment horizontal="center" vertical="top"/>
    </xf>
    <xf numFmtId="0" fontId="17" fillId="0" borderId="151" xfId="0" applyFont="1" applyBorder="1" applyAlignment="1">
      <alignment horizontal="center" vertical="top"/>
    </xf>
    <xf numFmtId="0" fontId="17" fillId="0" borderId="149" xfId="0" applyFont="1" applyBorder="1" applyAlignment="1">
      <alignment horizontal="center" vertical="top"/>
    </xf>
    <xf numFmtId="0" fontId="66" fillId="0" borderId="151" xfId="0" applyFont="1" applyBorder="1" applyAlignment="1">
      <alignment horizontal="center"/>
    </xf>
    <xf numFmtId="0" fontId="64" fillId="0" borderId="0" xfId="0" applyFont="1" applyAlignment="1">
      <alignment horizontal="center" vertical="center" wrapText="1"/>
    </xf>
    <xf numFmtId="0" fontId="64" fillId="0" borderId="0" xfId="0" applyFont="1" applyAlignment="1">
      <alignment horizontal="center" vertical="center"/>
    </xf>
    <xf numFmtId="0" fontId="58" fillId="0" borderId="165" xfId="0" applyFont="1" applyBorder="1" applyAlignment="1">
      <alignment horizontal="center" vertical="top"/>
    </xf>
    <xf numFmtId="0" fontId="16" fillId="7" borderId="183" xfId="0" applyFont="1" applyFill="1" applyBorder="1" applyAlignment="1">
      <alignment horizontal="center"/>
    </xf>
    <xf numFmtId="0" fontId="16" fillId="7" borderId="184" xfId="0" applyFont="1" applyFill="1" applyBorder="1" applyAlignment="1">
      <alignment horizontal="center"/>
    </xf>
    <xf numFmtId="0" fontId="16" fillId="7" borderId="0" xfId="0" applyFont="1" applyFill="1" applyAlignment="1">
      <alignment horizontal="center"/>
    </xf>
    <xf numFmtId="0" fontId="56" fillId="0" borderId="166" xfId="0" applyFont="1" applyBorder="1" applyAlignment="1">
      <alignment horizontal="center" vertical="center" wrapText="1"/>
    </xf>
    <xf numFmtId="0" fontId="56" fillId="0" borderId="159" xfId="0" applyFont="1" applyBorder="1" applyAlignment="1">
      <alignment horizontal="center" vertical="center" wrapText="1"/>
    </xf>
    <xf numFmtId="0" fontId="56" fillId="0" borderId="160" xfId="0" applyFont="1" applyBorder="1" applyAlignment="1">
      <alignment horizontal="center" vertical="center" wrapText="1"/>
    </xf>
    <xf numFmtId="0" fontId="56" fillId="0" borderId="167" xfId="0" applyFont="1" applyBorder="1" applyAlignment="1">
      <alignment horizontal="center" vertical="center" wrapText="1"/>
    </xf>
    <xf numFmtId="0" fontId="56" fillId="0" borderId="163" xfId="0" applyFont="1" applyBorder="1" applyAlignment="1">
      <alignment horizontal="center" vertical="center" wrapText="1"/>
    </xf>
    <xf numFmtId="0" fontId="56" fillId="0" borderId="164" xfId="0" applyFont="1" applyBorder="1" applyAlignment="1">
      <alignment horizontal="center" vertical="center" wrapText="1"/>
    </xf>
    <xf numFmtId="0" fontId="19" fillId="0" borderId="149" xfId="0" applyFont="1" applyBorder="1" applyAlignment="1">
      <alignment horizontal="center"/>
    </xf>
    <xf numFmtId="0" fontId="19" fillId="0" borderId="150" xfId="0" applyFont="1" applyBorder="1" applyAlignment="1">
      <alignment horizontal="center"/>
    </xf>
    <xf numFmtId="0" fontId="19" fillId="0" borderId="165" xfId="0" applyFont="1" applyBorder="1" applyAlignment="1">
      <alignment horizontal="center" vertical="center"/>
    </xf>
    <xf numFmtId="0" fontId="19" fillId="0" borderId="151" xfId="0" applyFont="1" applyBorder="1" applyAlignment="1">
      <alignment horizontal="center" vertical="center"/>
    </xf>
    <xf numFmtId="0" fontId="19" fillId="0" borderId="152" xfId="0" applyFont="1" applyBorder="1" applyAlignment="1">
      <alignment horizontal="center" vertical="center"/>
    </xf>
    <xf numFmtId="0" fontId="19" fillId="0" borderId="154" xfId="0" applyFont="1" applyBorder="1" applyAlignment="1">
      <alignment horizontal="center" vertical="center"/>
    </xf>
    <xf numFmtId="0" fontId="19" fillId="0" borderId="148" xfId="0" applyFont="1" applyBorder="1" applyAlignment="1">
      <alignment horizontal="center" vertical="center"/>
    </xf>
    <xf numFmtId="0" fontId="19" fillId="0" borderId="153" xfId="0" applyFont="1" applyBorder="1" applyAlignment="1">
      <alignment horizontal="center" vertical="center"/>
    </xf>
    <xf numFmtId="165" fontId="58" fillId="0" borderId="165" xfId="0" applyNumberFormat="1" applyFont="1" applyBorder="1" applyAlignment="1">
      <alignment horizontal="center"/>
    </xf>
    <xf numFmtId="165" fontId="58" fillId="0" borderId="151" xfId="0" applyNumberFormat="1" applyFont="1" applyBorder="1" applyAlignment="1">
      <alignment horizontal="center"/>
    </xf>
    <xf numFmtId="165" fontId="58" fillId="0" borderId="152" xfId="0" applyNumberFormat="1" applyFont="1" applyBorder="1" applyAlignment="1">
      <alignment horizontal="center"/>
    </xf>
    <xf numFmtId="165" fontId="58" fillId="0" borderId="154" xfId="0" applyNumberFormat="1" applyFont="1" applyBorder="1" applyAlignment="1">
      <alignment horizontal="center"/>
    </xf>
    <xf numFmtId="165" fontId="58" fillId="0" borderId="148" xfId="0" applyNumberFormat="1" applyFont="1" applyBorder="1" applyAlignment="1">
      <alignment horizontal="center"/>
    </xf>
    <xf numFmtId="165" fontId="58" fillId="0" borderId="153" xfId="0" applyNumberFormat="1" applyFont="1" applyBorder="1" applyAlignment="1">
      <alignment horizontal="center"/>
    </xf>
    <xf numFmtId="3" fontId="58" fillId="0" borderId="165" xfId="0" applyNumberFormat="1" applyFont="1" applyBorder="1" applyAlignment="1">
      <alignment horizontal="center"/>
    </xf>
    <xf numFmtId="3" fontId="58" fillId="0" borderId="151" xfId="0" applyNumberFormat="1" applyFont="1" applyBorder="1" applyAlignment="1">
      <alignment horizontal="center"/>
    </xf>
    <xf numFmtId="3" fontId="58" fillId="0" borderId="152" xfId="0" applyNumberFormat="1" applyFont="1" applyBorder="1" applyAlignment="1">
      <alignment horizontal="center"/>
    </xf>
    <xf numFmtId="3" fontId="58" fillId="0" borderId="154" xfId="0" applyNumberFormat="1" applyFont="1" applyBorder="1" applyAlignment="1">
      <alignment horizontal="center"/>
    </xf>
    <xf numFmtId="3" fontId="58" fillId="0" borderId="148" xfId="0" applyNumberFormat="1" applyFont="1" applyBorder="1" applyAlignment="1">
      <alignment horizontal="center"/>
    </xf>
    <xf numFmtId="3" fontId="58" fillId="0" borderId="153" xfId="0" applyNumberFormat="1" applyFont="1" applyBorder="1" applyAlignment="1">
      <alignment horizontal="center"/>
    </xf>
    <xf numFmtId="0" fontId="58" fillId="0" borderId="151" xfId="0" applyFont="1" applyBorder="1" applyAlignment="1">
      <alignment horizontal="center"/>
    </xf>
    <xf numFmtId="0" fontId="58" fillId="0" borderId="152" xfId="0" applyFont="1" applyBorder="1" applyAlignment="1">
      <alignment horizontal="center"/>
    </xf>
    <xf numFmtId="0" fontId="58" fillId="0" borderId="154" xfId="0" applyFont="1" applyBorder="1" applyAlignment="1">
      <alignment horizontal="center"/>
    </xf>
    <xf numFmtId="0" fontId="58" fillId="0" borderId="148" xfId="0" applyFont="1" applyBorder="1" applyAlignment="1">
      <alignment horizontal="center"/>
    </xf>
    <xf numFmtId="0" fontId="58" fillId="0" borderId="153" xfId="0" applyFont="1" applyBorder="1" applyAlignment="1">
      <alignment horizontal="center"/>
    </xf>
    <xf numFmtId="0" fontId="63" fillId="0" borderId="165" xfId="0" applyFont="1" applyBorder="1" applyAlignment="1">
      <alignment horizontal="left" vertical="top" wrapText="1"/>
    </xf>
    <xf numFmtId="0" fontId="63" fillId="0" borderId="151" xfId="0" applyFont="1" applyBorder="1" applyAlignment="1">
      <alignment horizontal="left" vertical="top" wrapText="1"/>
    </xf>
    <xf numFmtId="0" fontId="63" fillId="0" borderId="152" xfId="0" applyFont="1" applyBorder="1" applyAlignment="1">
      <alignment horizontal="left" vertical="top" wrapText="1"/>
    </xf>
    <xf numFmtId="0" fontId="63" fillId="0" borderId="149" xfId="0" applyFont="1" applyBorder="1" applyAlignment="1">
      <alignment horizontal="left" vertical="top" wrapText="1"/>
    </xf>
    <xf numFmtId="0" fontId="63" fillId="0" borderId="0" xfId="0" applyFont="1" applyAlignment="1">
      <alignment horizontal="left" vertical="top" wrapText="1"/>
    </xf>
    <xf numFmtId="0" fontId="63" fillId="0" borderId="150" xfId="0" applyFont="1" applyBorder="1" applyAlignment="1">
      <alignment horizontal="left" vertical="top" wrapText="1"/>
    </xf>
    <xf numFmtId="0" fontId="58" fillId="0" borderId="149" xfId="0" applyFont="1" applyBorder="1" applyAlignment="1">
      <alignment horizontal="center" wrapText="1"/>
    </xf>
    <xf numFmtId="0" fontId="58" fillId="0" borderId="0" xfId="0" applyFont="1" applyAlignment="1">
      <alignment horizontal="center" wrapText="1"/>
    </xf>
    <xf numFmtId="0" fontId="58" fillId="0" borderId="150" xfId="0" applyFont="1" applyBorder="1" applyAlignment="1">
      <alignment horizontal="center" wrapText="1"/>
    </xf>
    <xf numFmtId="0" fontId="58" fillId="0" borderId="187" xfId="0" applyFont="1" applyBorder="1" applyAlignment="1">
      <alignment horizontal="center" wrapText="1"/>
    </xf>
    <xf numFmtId="0" fontId="58" fillId="0" borderId="188" xfId="0" applyFont="1" applyBorder="1" applyAlignment="1">
      <alignment horizontal="center" wrapText="1"/>
    </xf>
    <xf numFmtId="0" fontId="58" fillId="0" borderId="189" xfId="0" applyFont="1" applyBorder="1" applyAlignment="1">
      <alignment horizontal="center" wrapText="1"/>
    </xf>
    <xf numFmtId="0" fontId="56" fillId="0" borderId="159" xfId="0" applyFont="1" applyBorder="1" applyAlignment="1">
      <alignment horizontal="center" vertical="center"/>
    </xf>
    <xf numFmtId="0" fontId="56" fillId="0" borderId="160" xfId="0" applyFont="1" applyBorder="1" applyAlignment="1">
      <alignment horizontal="center" vertical="center"/>
    </xf>
    <xf numFmtId="0" fontId="56" fillId="0" borderId="167" xfId="0" applyFont="1" applyBorder="1" applyAlignment="1">
      <alignment horizontal="center" vertical="center"/>
    </xf>
    <xf numFmtId="0" fontId="56" fillId="0" borderId="163" xfId="0" applyFont="1" applyBorder="1" applyAlignment="1">
      <alignment horizontal="center" vertical="center"/>
    </xf>
    <xf numFmtId="0" fontId="56" fillId="0" borderId="164" xfId="0" applyFont="1" applyBorder="1" applyAlignment="1">
      <alignment horizontal="center" vertical="center"/>
    </xf>
    <xf numFmtId="0" fontId="56" fillId="0" borderId="166" xfId="0" applyFont="1" applyBorder="1" applyAlignment="1">
      <alignment horizontal="center" vertical="center"/>
    </xf>
    <xf numFmtId="0" fontId="19" fillId="0" borderId="166" xfId="0" applyFont="1" applyBorder="1" applyAlignment="1">
      <alignment horizontal="center"/>
    </xf>
    <xf numFmtId="0" fontId="19" fillId="0" borderId="159" xfId="0" applyFont="1" applyBorder="1" applyAlignment="1">
      <alignment horizontal="center"/>
    </xf>
    <xf numFmtId="0" fontId="19" fillId="0" borderId="160" xfId="0" applyFont="1" applyBorder="1" applyAlignment="1">
      <alignment horizontal="center"/>
    </xf>
    <xf numFmtId="0" fontId="19" fillId="0" borderId="167" xfId="0" applyFont="1" applyBorder="1" applyAlignment="1">
      <alignment horizontal="center"/>
    </xf>
    <xf numFmtId="0" fontId="19" fillId="0" borderId="163" xfId="0" applyFont="1" applyBorder="1" applyAlignment="1">
      <alignment horizontal="center"/>
    </xf>
    <xf numFmtId="0" fontId="19" fillId="0" borderId="164" xfId="0" applyFont="1" applyBorder="1" applyAlignment="1">
      <alignment horizontal="center"/>
    </xf>
    <xf numFmtId="0" fontId="63" fillId="0" borderId="0" xfId="0" applyFont="1" applyAlignment="1">
      <alignment horizontal="justify" wrapText="1"/>
    </xf>
    <xf numFmtId="0" fontId="63" fillId="0" borderId="0" xfId="0" applyFont="1" applyAlignment="1">
      <alignment horizontal="justify"/>
    </xf>
    <xf numFmtId="0" fontId="63" fillId="0" borderId="4" xfId="0" applyFont="1" applyBorder="1" applyAlignment="1">
      <alignment horizontal="justify"/>
    </xf>
    <xf numFmtId="1" fontId="58" fillId="0" borderId="165" xfId="1" applyNumberFormat="1" applyFont="1" applyBorder="1" applyAlignment="1">
      <alignment horizontal="center" vertical="top"/>
    </xf>
    <xf numFmtId="1" fontId="58" fillId="0" borderId="151" xfId="1" applyNumberFormat="1" applyFont="1" applyBorder="1" applyAlignment="1">
      <alignment horizontal="center" vertical="top"/>
    </xf>
    <xf numFmtId="1" fontId="58" fillId="0" borderId="152" xfId="1" applyNumberFormat="1" applyFont="1" applyBorder="1" applyAlignment="1">
      <alignment horizontal="center" vertical="top"/>
    </xf>
    <xf numFmtId="1" fontId="58" fillId="0" borderId="149" xfId="1" applyNumberFormat="1" applyFont="1" applyBorder="1" applyAlignment="1">
      <alignment horizontal="center" vertical="top"/>
    </xf>
    <xf numFmtId="1" fontId="58" fillId="0" borderId="0" xfId="1" applyNumberFormat="1" applyFont="1" applyBorder="1" applyAlignment="1">
      <alignment horizontal="center" vertical="top"/>
    </xf>
    <xf numFmtId="1" fontId="58" fillId="0" borderId="150" xfId="1" applyNumberFormat="1" applyFont="1" applyBorder="1" applyAlignment="1">
      <alignment horizontal="center" vertical="top"/>
    </xf>
    <xf numFmtId="1" fontId="58" fillId="0" borderId="154" xfId="1" applyNumberFormat="1" applyFont="1" applyBorder="1" applyAlignment="1">
      <alignment horizontal="center" vertical="top"/>
    </xf>
    <xf numFmtId="1" fontId="58" fillId="0" borderId="148" xfId="1" applyNumberFormat="1" applyFont="1" applyBorder="1" applyAlignment="1">
      <alignment horizontal="center" vertical="top"/>
    </xf>
    <xf numFmtId="1" fontId="58" fillId="0" borderId="153" xfId="1" applyNumberFormat="1" applyFont="1" applyBorder="1" applyAlignment="1">
      <alignment horizontal="center" vertical="top"/>
    </xf>
    <xf numFmtId="164" fontId="58" fillId="0" borderId="165" xfId="1" applyNumberFormat="1" applyFont="1" applyBorder="1" applyAlignment="1">
      <alignment horizontal="center" vertical="top"/>
    </xf>
    <xf numFmtId="164" fontId="58" fillId="0" borderId="151" xfId="1" applyNumberFormat="1" applyFont="1" applyBorder="1" applyAlignment="1">
      <alignment horizontal="center" vertical="top"/>
    </xf>
    <xf numFmtId="164" fontId="58" fillId="0" borderId="152" xfId="1" applyNumberFormat="1" applyFont="1" applyBorder="1" applyAlignment="1">
      <alignment horizontal="center" vertical="top"/>
    </xf>
    <xf numFmtId="164" fontId="58" fillId="0" borderId="149" xfId="1" applyNumberFormat="1" applyFont="1" applyBorder="1" applyAlignment="1">
      <alignment horizontal="center" vertical="top"/>
    </xf>
    <xf numFmtId="164" fontId="58" fillId="0" borderId="0" xfId="1" applyNumberFormat="1" applyFont="1" applyBorder="1" applyAlignment="1">
      <alignment horizontal="center" vertical="top"/>
    </xf>
    <xf numFmtId="164" fontId="58" fillId="0" borderId="150" xfId="1" applyNumberFormat="1" applyFont="1" applyBorder="1" applyAlignment="1">
      <alignment horizontal="center" vertical="top"/>
    </xf>
    <xf numFmtId="164" fontId="58" fillId="0" borderId="154" xfId="1" applyNumberFormat="1" applyFont="1" applyBorder="1" applyAlignment="1">
      <alignment horizontal="center" vertical="top"/>
    </xf>
    <xf numFmtId="164" fontId="58" fillId="0" borderId="148" xfId="1" applyNumberFormat="1" applyFont="1" applyBorder="1" applyAlignment="1">
      <alignment horizontal="center" vertical="top"/>
    </xf>
    <xf numFmtId="164" fontId="58" fillId="0" borderId="153" xfId="1" applyNumberFormat="1" applyFont="1" applyBorder="1" applyAlignment="1">
      <alignment horizontal="center" vertical="top"/>
    </xf>
    <xf numFmtId="0" fontId="58" fillId="0" borderId="151" xfId="0" applyFont="1" applyBorder="1" applyAlignment="1">
      <alignment horizontal="center" vertical="top"/>
    </xf>
    <xf numFmtId="0" fontId="68" fillId="0" borderId="165" xfId="0" applyFont="1" applyBorder="1" applyAlignment="1">
      <alignment horizontal="left" vertical="top" wrapText="1"/>
    </xf>
    <xf numFmtId="0" fontId="68" fillId="0" borderId="151" xfId="0" applyFont="1" applyBorder="1" applyAlignment="1">
      <alignment horizontal="left" vertical="top" wrapText="1"/>
    </xf>
    <xf numFmtId="0" fontId="68" fillId="0" borderId="152" xfId="0" applyFont="1" applyBorder="1" applyAlignment="1">
      <alignment horizontal="left" vertical="top" wrapText="1"/>
    </xf>
    <xf numFmtId="0" fontId="68" fillId="0" borderId="149" xfId="0" applyFont="1" applyBorder="1" applyAlignment="1">
      <alignment horizontal="left" vertical="top" wrapText="1"/>
    </xf>
    <xf numFmtId="0" fontId="68" fillId="0" borderId="0" xfId="0" applyFont="1" applyAlignment="1">
      <alignment horizontal="left" vertical="top" wrapText="1"/>
    </xf>
    <xf numFmtId="0" fontId="68" fillId="0" borderId="150" xfId="0" applyFont="1" applyBorder="1" applyAlignment="1">
      <alignment horizontal="left" vertical="top" wrapText="1"/>
    </xf>
    <xf numFmtId="3" fontId="58" fillId="0" borderId="165" xfId="1" applyNumberFormat="1" applyFont="1" applyBorder="1" applyAlignment="1">
      <alignment horizontal="center" vertical="top"/>
    </xf>
    <xf numFmtId="3" fontId="58" fillId="0" borderId="151" xfId="1" applyNumberFormat="1" applyFont="1" applyBorder="1" applyAlignment="1">
      <alignment horizontal="center" vertical="top"/>
    </xf>
    <xf numFmtId="3" fontId="58" fillId="0" borderId="152" xfId="1" applyNumberFormat="1" applyFont="1" applyBorder="1" applyAlignment="1">
      <alignment horizontal="center" vertical="top"/>
    </xf>
    <xf numFmtId="3" fontId="58" fillId="0" borderId="149" xfId="1" applyNumberFormat="1" applyFont="1" applyBorder="1" applyAlignment="1">
      <alignment horizontal="center" vertical="top"/>
    </xf>
    <xf numFmtId="3" fontId="58" fillId="0" borderId="0" xfId="1" applyNumberFormat="1" applyFont="1" applyBorder="1" applyAlignment="1">
      <alignment horizontal="center" vertical="top"/>
    </xf>
    <xf numFmtId="3" fontId="58" fillId="0" borderId="150" xfId="1" applyNumberFormat="1" applyFont="1" applyBorder="1" applyAlignment="1">
      <alignment horizontal="center" vertical="top"/>
    </xf>
    <xf numFmtId="3" fontId="58" fillId="0" borderId="154" xfId="1" applyNumberFormat="1" applyFont="1" applyBorder="1" applyAlignment="1">
      <alignment horizontal="center" vertical="top"/>
    </xf>
    <xf numFmtId="3" fontId="58" fillId="0" borderId="148" xfId="1" applyNumberFormat="1" applyFont="1" applyBorder="1" applyAlignment="1">
      <alignment horizontal="center" vertical="top"/>
    </xf>
    <xf numFmtId="3" fontId="58" fillId="0" borderId="153" xfId="1" applyNumberFormat="1" applyFont="1" applyBorder="1" applyAlignment="1">
      <alignment horizontal="center" vertical="top"/>
    </xf>
    <xf numFmtId="0" fontId="54" fillId="0" borderId="190" xfId="0" applyFont="1" applyBorder="1" applyAlignment="1">
      <alignment horizontal="right"/>
    </xf>
    <xf numFmtId="0" fontId="54" fillId="0" borderId="9" xfId="0" applyFont="1" applyBorder="1" applyAlignment="1">
      <alignment horizontal="right"/>
    </xf>
    <xf numFmtId="0" fontId="54" fillId="0" borderId="191" xfId="0" applyFont="1" applyBorder="1" applyAlignment="1">
      <alignment horizontal="right"/>
    </xf>
    <xf numFmtId="0" fontId="54" fillId="0" borderId="167" xfId="0" applyFont="1" applyBorder="1" applyAlignment="1">
      <alignment horizontal="right"/>
    </xf>
    <xf numFmtId="0" fontId="54" fillId="0" borderId="163" xfId="0" applyFont="1" applyBorder="1" applyAlignment="1">
      <alignment horizontal="right"/>
    </xf>
    <xf numFmtId="0" fontId="54" fillId="0" borderId="164" xfId="0" applyFont="1" applyBorder="1" applyAlignment="1">
      <alignment horizontal="right"/>
    </xf>
    <xf numFmtId="0" fontId="56" fillId="0" borderId="185" xfId="0" applyFont="1" applyBorder="1" applyAlignment="1">
      <alignment horizontal="center" wrapText="1"/>
    </xf>
    <xf numFmtId="0" fontId="56" fillId="0" borderId="186" xfId="0" applyFont="1" applyBorder="1" applyAlignment="1">
      <alignment horizontal="center" wrapText="1"/>
    </xf>
    <xf numFmtId="0" fontId="16" fillId="0" borderId="149" xfId="0" applyFont="1" applyBorder="1" applyAlignment="1">
      <alignment horizontal="center"/>
    </xf>
    <xf numFmtId="0" fontId="16" fillId="0" borderId="0" xfId="0" applyFont="1" applyAlignment="1">
      <alignment horizontal="center"/>
    </xf>
    <xf numFmtId="0" fontId="16" fillId="0" borderId="150" xfId="0" applyFont="1" applyBorder="1" applyAlignment="1">
      <alignment horizontal="center"/>
    </xf>
    <xf numFmtId="0" fontId="56" fillId="0" borderId="149" xfId="0" applyFont="1" applyBorder="1" applyAlignment="1">
      <alignment horizontal="center" vertical="center"/>
    </xf>
    <xf numFmtId="0" fontId="56" fillId="0" borderId="150" xfId="0" applyFont="1" applyBorder="1" applyAlignment="1">
      <alignment horizontal="center" vertical="center"/>
    </xf>
    <xf numFmtId="0" fontId="2" fillId="0" borderId="105" xfId="0" applyFont="1" applyBorder="1" applyAlignment="1">
      <alignment horizontal="center"/>
    </xf>
    <xf numFmtId="0" fontId="2" fillId="0" borderId="106" xfId="0" applyFont="1" applyBorder="1" applyAlignment="1">
      <alignment horizontal="center"/>
    </xf>
    <xf numFmtId="0" fontId="1" fillId="0" borderId="0" xfId="0" applyFont="1" applyAlignment="1">
      <alignment horizontal="left"/>
    </xf>
    <xf numFmtId="0" fontId="49" fillId="0" borderId="113" xfId="0" applyFont="1" applyBorder="1" applyAlignment="1">
      <alignment horizontal="left" vertical="center"/>
    </xf>
    <xf numFmtId="0" fontId="49" fillId="0" borderId="114" xfId="0" applyFont="1" applyBorder="1" applyAlignment="1">
      <alignment horizontal="left" vertical="center"/>
    </xf>
    <xf numFmtId="0" fontId="49" fillId="0" borderId="115" xfId="0" applyFont="1" applyBorder="1" applyAlignment="1">
      <alignment horizontal="left" vertical="center"/>
    </xf>
    <xf numFmtId="0" fontId="9" fillId="0" borderId="105" xfId="0" applyFont="1" applyBorder="1" applyAlignment="1">
      <alignment horizontal="left" vertical="center" wrapText="1"/>
    </xf>
    <xf numFmtId="0" fontId="9" fillId="0" borderId="106" xfId="0" applyFont="1" applyBorder="1" applyAlignment="1">
      <alignment horizontal="left" vertical="center"/>
    </xf>
    <xf numFmtId="0" fontId="9" fillId="0" borderId="105" xfId="0" applyFont="1" applyBorder="1" applyAlignment="1">
      <alignment horizontal="left" vertical="center"/>
    </xf>
    <xf numFmtId="0" fontId="9" fillId="0" borderId="112" xfId="0" applyFont="1" applyBorder="1" applyAlignment="1">
      <alignment horizontal="left" vertical="center"/>
    </xf>
    <xf numFmtId="0" fontId="9" fillId="0" borderId="110" xfId="0" applyFont="1" applyBorder="1" applyAlignment="1">
      <alignment horizontal="left" vertical="center"/>
    </xf>
    <xf numFmtId="0" fontId="9" fillId="0" borderId="111" xfId="0" applyFont="1" applyBorder="1" applyAlignment="1">
      <alignment horizontal="left" vertical="center"/>
    </xf>
    <xf numFmtId="0" fontId="46" fillId="0" borderId="107" xfId="0" applyFont="1" applyBorder="1" applyAlignment="1">
      <alignment horizontal="center" vertical="center" wrapText="1"/>
    </xf>
    <xf numFmtId="0" fontId="46" fillId="0" borderId="108" xfId="0" applyFont="1" applyBorder="1" applyAlignment="1">
      <alignment horizontal="center" vertical="center" wrapText="1"/>
    </xf>
    <xf numFmtId="0" fontId="46" fillId="0" borderId="109" xfId="0" applyFont="1" applyBorder="1" applyAlignment="1">
      <alignment horizontal="center" vertical="center" wrapText="1"/>
    </xf>
    <xf numFmtId="0" fontId="6" fillId="0" borderId="112" xfId="0" applyFont="1" applyBorder="1" applyAlignment="1">
      <alignment horizontal="center" vertical="center"/>
    </xf>
    <xf numFmtId="0" fontId="6" fillId="0" borderId="110" xfId="0" applyFont="1" applyBorder="1" applyAlignment="1">
      <alignment horizontal="center" vertical="center"/>
    </xf>
    <xf numFmtId="0" fontId="6" fillId="0" borderId="111" xfId="0" applyFont="1" applyBorder="1" applyAlignment="1">
      <alignment horizontal="center" vertical="center"/>
    </xf>
    <xf numFmtId="0" fontId="52" fillId="0" borderId="127" xfId="0" applyFont="1" applyBorder="1" applyAlignment="1">
      <alignment horizontal="center" vertical="top" wrapText="1"/>
    </xf>
    <xf numFmtId="0" fontId="52" fillId="0" borderId="115" xfId="0" applyFont="1" applyBorder="1" applyAlignment="1">
      <alignment horizontal="center" vertical="top"/>
    </xf>
    <xf numFmtId="0" fontId="52" fillId="0" borderId="127" xfId="0" applyFont="1" applyBorder="1" applyAlignment="1">
      <alignment horizontal="center" vertical="top"/>
    </xf>
    <xf numFmtId="0" fontId="6" fillId="0" borderId="112" xfId="0" applyFont="1" applyBorder="1" applyAlignment="1">
      <alignment horizontal="center" vertical="top" wrapText="1"/>
    </xf>
    <xf numFmtId="0" fontId="6" fillId="0" borderId="110" xfId="0" applyFont="1" applyBorder="1" applyAlignment="1">
      <alignment horizontal="center" vertical="top" wrapText="1"/>
    </xf>
    <xf numFmtId="0" fontId="6" fillId="0" borderId="111" xfId="0" applyFont="1" applyBorder="1" applyAlignment="1">
      <alignment horizontal="center" vertical="top" wrapText="1"/>
    </xf>
    <xf numFmtId="0" fontId="51" fillId="0" borderId="0" xfId="0" applyFont="1" applyAlignment="1">
      <alignment horizontal="left" vertical="top"/>
    </xf>
    <xf numFmtId="0" fontId="46" fillId="0" borderId="107" xfId="0" applyFont="1" applyBorder="1" applyAlignment="1">
      <alignment horizontal="center" vertical="center"/>
    </xf>
    <xf numFmtId="0" fontId="46" fillId="0" borderId="108" xfId="0" applyFont="1" applyBorder="1" applyAlignment="1">
      <alignment horizontal="center" vertical="center"/>
    </xf>
    <xf numFmtId="0" fontId="46" fillId="0" borderId="109" xfId="0" applyFont="1" applyBorder="1" applyAlignment="1">
      <alignment horizontal="center" vertical="center"/>
    </xf>
    <xf numFmtId="0" fontId="46" fillId="0" borderId="127" xfId="0" applyFont="1" applyBorder="1" applyAlignment="1">
      <alignment horizontal="center" vertical="center"/>
    </xf>
    <xf numFmtId="0" fontId="46" fillId="0" borderId="114" xfId="0" applyFont="1" applyBorder="1" applyAlignment="1">
      <alignment horizontal="center" vertical="center"/>
    </xf>
    <xf numFmtId="0" fontId="46" fillId="0" borderId="115" xfId="0" applyFont="1" applyBorder="1" applyAlignment="1">
      <alignment horizontal="center" vertical="center"/>
    </xf>
    <xf numFmtId="0" fontId="46" fillId="0" borderId="123" xfId="0" applyFont="1" applyBorder="1" applyAlignment="1">
      <alignment horizontal="center" vertical="top" wrapText="1"/>
    </xf>
    <xf numFmtId="0" fontId="46" fillId="0" borderId="118" xfId="0" applyFont="1" applyBorder="1" applyAlignment="1">
      <alignment horizontal="center" vertical="top"/>
    </xf>
    <xf numFmtId="0" fontId="46" fillId="0" borderId="125" xfId="0" applyFont="1" applyBorder="1" applyAlignment="1">
      <alignment horizontal="center" vertical="top"/>
    </xf>
    <xf numFmtId="0" fontId="46" fillId="0" borderId="122" xfId="0" applyFont="1" applyBorder="1" applyAlignment="1">
      <alignment horizontal="center" vertical="top"/>
    </xf>
    <xf numFmtId="0" fontId="46" fillId="0" borderId="123" xfId="0" applyFont="1" applyBorder="1" applyAlignment="1">
      <alignment horizontal="center" vertical="center" wrapText="1"/>
    </xf>
    <xf numFmtId="0" fontId="46" fillId="0" borderId="117" xfId="0" applyFont="1" applyBorder="1" applyAlignment="1">
      <alignment horizontal="center" vertical="center" wrapText="1"/>
    </xf>
    <xf numFmtId="0" fontId="46" fillId="0" borderId="118" xfId="0" applyFont="1" applyBorder="1" applyAlignment="1">
      <alignment horizontal="center" vertical="center" wrapText="1"/>
    </xf>
    <xf numFmtId="0" fontId="46" fillId="0" borderId="125" xfId="0" applyFont="1" applyBorder="1" applyAlignment="1">
      <alignment horizontal="center" vertical="center" wrapText="1"/>
    </xf>
    <xf numFmtId="0" fontId="46" fillId="0" borderId="121" xfId="0" applyFont="1" applyBorder="1" applyAlignment="1">
      <alignment horizontal="center" vertical="center" wrapText="1"/>
    </xf>
    <xf numFmtId="0" fontId="46" fillId="0" borderId="122" xfId="0" applyFont="1" applyBorder="1" applyAlignment="1">
      <alignment horizontal="center" vertical="center" wrapText="1"/>
    </xf>
    <xf numFmtId="0" fontId="46" fillId="6" borderId="108" xfId="0" applyFont="1" applyFill="1" applyBorder="1" applyAlignment="1">
      <alignment horizontal="center" vertical="center"/>
    </xf>
    <xf numFmtId="0" fontId="46" fillId="6" borderId="109" xfId="0" applyFont="1" applyFill="1" applyBorder="1" applyAlignment="1">
      <alignment horizontal="center" vertical="center"/>
    </xf>
    <xf numFmtId="0" fontId="6" fillId="0" borderId="133" xfId="0" applyFont="1" applyBorder="1" applyAlignment="1">
      <alignment horizontal="center" vertical="top"/>
    </xf>
    <xf numFmtId="0" fontId="6" fillId="0" borderId="134" xfId="0" applyFont="1" applyBorder="1" applyAlignment="1">
      <alignment horizontal="center" vertical="top"/>
    </xf>
    <xf numFmtId="0" fontId="6" fillId="0" borderId="135" xfId="0" applyFont="1" applyBorder="1" applyAlignment="1">
      <alignment horizontal="center" vertical="top"/>
    </xf>
    <xf numFmtId="15" fontId="15" fillId="6" borderId="112" xfId="0" applyNumberFormat="1" applyFont="1" applyFill="1" applyBorder="1" applyAlignment="1">
      <alignment horizontal="center" vertical="top"/>
    </xf>
    <xf numFmtId="0" fontId="15" fillId="6" borderId="110" xfId="0" applyFont="1" applyFill="1" applyBorder="1" applyAlignment="1">
      <alignment horizontal="center" vertical="top"/>
    </xf>
    <xf numFmtId="0" fontId="15" fillId="6" borderId="111" xfId="0" applyFont="1" applyFill="1" applyBorder="1" applyAlignment="1">
      <alignment horizontal="center" vertical="top"/>
    </xf>
    <xf numFmtId="0" fontId="6" fillId="0" borderId="105" xfId="0" applyFont="1" applyBorder="1" applyAlignment="1">
      <alignment horizontal="center" vertical="center"/>
    </xf>
    <xf numFmtId="0" fontId="6" fillId="0" borderId="0" xfId="0" applyFont="1" applyAlignment="1">
      <alignment horizontal="center" vertical="center"/>
    </xf>
    <xf numFmtId="0" fontId="6" fillId="0" borderId="106" xfId="0" applyFont="1" applyBorder="1" applyAlignment="1">
      <alignment horizontal="center" vertical="center"/>
    </xf>
    <xf numFmtId="0" fontId="17" fillId="0" borderId="107" xfId="0" applyFont="1" applyBorder="1" applyAlignment="1">
      <alignment horizontal="center" vertical="top"/>
    </xf>
    <xf numFmtId="0" fontId="17" fillId="0" borderId="108" xfId="0" applyFont="1" applyBorder="1" applyAlignment="1">
      <alignment horizontal="center" vertical="top"/>
    </xf>
    <xf numFmtId="0" fontId="17" fillId="0" borderId="109" xfId="0" applyFont="1" applyBorder="1" applyAlignment="1">
      <alignment horizontal="center" vertical="top"/>
    </xf>
    <xf numFmtId="0" fontId="17" fillId="0" borderId="105" xfId="0" applyFont="1" applyBorder="1" applyAlignment="1">
      <alignment horizontal="center" vertical="top"/>
    </xf>
    <xf numFmtId="0" fontId="17" fillId="0" borderId="106" xfId="0" applyFont="1" applyBorder="1" applyAlignment="1">
      <alignment horizontal="center" vertical="top"/>
    </xf>
    <xf numFmtId="164" fontId="6" fillId="0" borderId="107" xfId="1" applyNumberFormat="1" applyFont="1" applyBorder="1" applyAlignment="1">
      <alignment horizontal="center" vertical="top"/>
    </xf>
    <xf numFmtId="164" fontId="6" fillId="0" borderId="108" xfId="1" applyNumberFormat="1" applyFont="1" applyBorder="1" applyAlignment="1">
      <alignment horizontal="center" vertical="top"/>
    </xf>
    <xf numFmtId="164" fontId="6" fillId="0" borderId="109" xfId="1" applyNumberFormat="1" applyFont="1" applyBorder="1" applyAlignment="1">
      <alignment horizontal="center" vertical="top"/>
    </xf>
    <xf numFmtId="164" fontId="6" fillId="0" borderId="105" xfId="1" applyNumberFormat="1" applyFont="1" applyBorder="1" applyAlignment="1">
      <alignment horizontal="center" vertical="top"/>
    </xf>
    <xf numFmtId="164" fontId="6" fillId="0" borderId="106" xfId="1" applyNumberFormat="1" applyFont="1" applyBorder="1" applyAlignment="1">
      <alignment horizontal="center" vertical="top"/>
    </xf>
    <xf numFmtId="0" fontId="46" fillId="0" borderId="123" xfId="0" applyFont="1" applyBorder="1" applyAlignment="1">
      <alignment horizontal="center" vertical="center"/>
    </xf>
    <xf numFmtId="0" fontId="46" fillId="0" borderId="117" xfId="0" applyFont="1" applyBorder="1" applyAlignment="1">
      <alignment horizontal="center" vertical="center"/>
    </xf>
    <xf numFmtId="0" fontId="46" fillId="0" borderId="118" xfId="0" applyFont="1" applyBorder="1" applyAlignment="1">
      <alignment horizontal="center" vertical="center"/>
    </xf>
    <xf numFmtId="0" fontId="46" fillId="0" borderId="125" xfId="0" applyFont="1" applyBorder="1" applyAlignment="1">
      <alignment horizontal="center" vertical="center"/>
    </xf>
    <xf numFmtId="0" fontId="46" fillId="0" borderId="121" xfId="0" applyFont="1" applyBorder="1" applyAlignment="1">
      <alignment horizontal="center" vertical="center"/>
    </xf>
    <xf numFmtId="0" fontId="46" fillId="0" borderId="122" xfId="0" applyFont="1" applyBorder="1" applyAlignment="1">
      <alignment horizontal="center" vertical="center"/>
    </xf>
    <xf numFmtId="3" fontId="6" fillId="0" borderId="107" xfId="1" applyNumberFormat="1" applyFont="1" applyBorder="1" applyAlignment="1">
      <alignment horizontal="center" vertical="top"/>
    </xf>
    <xf numFmtId="3" fontId="6" fillId="0" borderId="108" xfId="1" applyNumberFormat="1" applyFont="1" applyBorder="1" applyAlignment="1">
      <alignment horizontal="center" vertical="top"/>
    </xf>
    <xf numFmtId="3" fontId="6" fillId="0" borderId="109" xfId="1" applyNumberFormat="1" applyFont="1" applyBorder="1" applyAlignment="1">
      <alignment horizontal="center" vertical="top"/>
    </xf>
    <xf numFmtId="3" fontId="6" fillId="0" borderId="105" xfId="1" applyNumberFormat="1" applyFont="1" applyBorder="1" applyAlignment="1">
      <alignment horizontal="center" vertical="top"/>
    </xf>
    <xf numFmtId="3" fontId="6" fillId="0" borderId="106" xfId="1" applyNumberFormat="1" applyFont="1" applyBorder="1" applyAlignment="1">
      <alignment horizontal="center" vertical="top"/>
    </xf>
    <xf numFmtId="3" fontId="6" fillId="0" borderId="112" xfId="1" applyNumberFormat="1" applyFont="1" applyBorder="1" applyAlignment="1">
      <alignment horizontal="center" vertical="top"/>
    </xf>
    <xf numFmtId="3" fontId="6" fillId="0" borderId="110" xfId="1" applyNumberFormat="1" applyFont="1" applyBorder="1" applyAlignment="1">
      <alignment horizontal="center" vertical="top"/>
    </xf>
    <xf numFmtId="3" fontId="6" fillId="0" borderId="111" xfId="1" applyNumberFormat="1" applyFont="1" applyBorder="1" applyAlignment="1">
      <alignment horizontal="center" vertical="top"/>
    </xf>
    <xf numFmtId="0" fontId="19" fillId="0" borderId="108" xfId="0" applyFont="1" applyBorder="1" applyAlignment="1">
      <alignment horizontal="center"/>
    </xf>
    <xf numFmtId="0" fontId="46" fillId="0" borderId="112" xfId="0" applyFont="1" applyBorder="1" applyAlignment="1">
      <alignment horizontal="center" vertical="center"/>
    </xf>
    <xf numFmtId="0" fontId="46" fillId="0" borderId="110" xfId="0" applyFont="1" applyBorder="1" applyAlignment="1">
      <alignment horizontal="center" vertical="center"/>
    </xf>
    <xf numFmtId="0" fontId="46" fillId="0" borderId="111" xfId="0" applyFont="1" applyBorder="1" applyAlignment="1">
      <alignment horizontal="center" vertical="center"/>
    </xf>
    <xf numFmtId="165" fontId="6" fillId="0" borderId="107" xfId="0" applyNumberFormat="1" applyFont="1" applyBorder="1" applyAlignment="1">
      <alignment horizontal="center"/>
    </xf>
    <xf numFmtId="165" fontId="6" fillId="0" borderId="108" xfId="0" applyNumberFormat="1" applyFont="1" applyBorder="1" applyAlignment="1">
      <alignment horizontal="center"/>
    </xf>
    <xf numFmtId="165" fontId="6" fillId="0" borderId="109" xfId="0" applyNumberFormat="1" applyFont="1" applyBorder="1" applyAlignment="1">
      <alignment horizontal="center"/>
    </xf>
    <xf numFmtId="165" fontId="6" fillId="0" borderId="112" xfId="0" applyNumberFormat="1" applyFont="1" applyBorder="1" applyAlignment="1">
      <alignment horizontal="center"/>
    </xf>
    <xf numFmtId="165" fontId="6" fillId="0" borderId="110" xfId="0" applyNumberFormat="1" applyFont="1" applyBorder="1" applyAlignment="1">
      <alignment horizontal="center"/>
    </xf>
    <xf numFmtId="165" fontId="6" fillId="0" borderId="111" xfId="0" applyNumberFormat="1" applyFont="1" applyBorder="1" applyAlignment="1">
      <alignment horizontal="center"/>
    </xf>
    <xf numFmtId="0" fontId="6" fillId="0" borderId="108" xfId="0" applyFont="1" applyBorder="1" applyAlignment="1">
      <alignment horizontal="center" vertical="top"/>
    </xf>
    <xf numFmtId="0" fontId="6" fillId="0" borderId="110" xfId="0" applyFont="1" applyBorder="1" applyAlignment="1">
      <alignment horizontal="center" vertical="top"/>
    </xf>
    <xf numFmtId="0" fontId="19" fillId="0" borderId="123" xfId="0" applyFont="1" applyBorder="1" applyAlignment="1">
      <alignment horizontal="center"/>
    </xf>
    <xf numFmtId="0" fontId="19" fillId="0" borderId="117" xfId="0" applyFont="1" applyBorder="1" applyAlignment="1">
      <alignment horizontal="center"/>
    </xf>
    <xf numFmtId="0" fontId="19" fillId="0" borderId="118" xfId="0" applyFont="1" applyBorder="1" applyAlignment="1">
      <alignment horizontal="center"/>
    </xf>
    <xf numFmtId="0" fontId="19" fillId="0" borderId="125" xfId="0" applyFont="1" applyBorder="1" applyAlignment="1">
      <alignment horizontal="center"/>
    </xf>
    <xf numFmtId="0" fontId="19" fillId="0" borderId="121" xfId="0" applyFont="1" applyBorder="1" applyAlignment="1">
      <alignment horizontal="center"/>
    </xf>
    <xf numFmtId="0" fontId="19" fillId="0" borderId="122" xfId="0" applyFont="1" applyBorder="1" applyAlignment="1">
      <alignment horizontal="center"/>
    </xf>
    <xf numFmtId="0" fontId="51" fillId="0" borderId="107" xfId="0" applyFont="1" applyBorder="1" applyAlignment="1">
      <alignment horizontal="left" vertical="top" wrapText="1"/>
    </xf>
    <xf numFmtId="0" fontId="51" fillId="0" borderId="108" xfId="0" applyFont="1" applyBorder="1" applyAlignment="1">
      <alignment horizontal="left" vertical="top" wrapText="1"/>
    </xf>
    <xf numFmtId="0" fontId="51" fillId="0" borderId="109" xfId="0" applyFont="1" applyBorder="1" applyAlignment="1">
      <alignment horizontal="left" vertical="top" wrapText="1"/>
    </xf>
    <xf numFmtId="0" fontId="51" fillId="0" borderId="112" xfId="0" applyFont="1" applyBorder="1" applyAlignment="1">
      <alignment horizontal="left" vertical="top" wrapText="1"/>
    </xf>
    <xf numFmtId="0" fontId="51" fillId="0" borderId="110" xfId="0" applyFont="1" applyBorder="1" applyAlignment="1">
      <alignment horizontal="left" vertical="top" wrapText="1"/>
    </xf>
    <xf numFmtId="0" fontId="51" fillId="0" borderId="111" xfId="0" applyFont="1" applyBorder="1" applyAlignment="1">
      <alignment horizontal="left" vertical="top" wrapText="1"/>
    </xf>
    <xf numFmtId="15" fontId="6" fillId="0" borderId="146" xfId="0" applyNumberFormat="1" applyFont="1" applyBorder="1" applyAlignment="1">
      <alignment horizontal="center"/>
    </xf>
    <xf numFmtId="0" fontId="6" fillId="0" borderId="146" xfId="0" applyFont="1" applyBorder="1" applyAlignment="1">
      <alignment horizontal="center"/>
    </xf>
    <xf numFmtId="0" fontId="53" fillId="0" borderId="108" xfId="0" applyFont="1" applyBorder="1" applyAlignment="1">
      <alignment horizontal="center"/>
    </xf>
    <xf numFmtId="0" fontId="52" fillId="0" borderId="136" xfId="0" applyFont="1" applyBorder="1" applyAlignment="1">
      <alignment horizontal="center" vertical="center" wrapText="1"/>
    </xf>
    <xf numFmtId="0" fontId="52" fillId="0" borderId="140" xfId="0" applyFont="1" applyBorder="1" applyAlignment="1">
      <alignment horizontal="center" vertical="center"/>
    </xf>
    <xf numFmtId="0" fontId="6" fillId="0" borderId="136" xfId="0" applyFont="1" applyBorder="1" applyAlignment="1">
      <alignment horizontal="center" vertical="top"/>
    </xf>
    <xf numFmtId="0" fontId="6" fillId="0" borderId="144" xfId="0" applyFont="1" applyBorder="1" applyAlignment="1">
      <alignment horizontal="center" vertical="top"/>
    </xf>
    <xf numFmtId="0" fontId="16" fillId="6" borderId="0" xfId="0" applyFont="1" applyFill="1" applyAlignment="1">
      <alignment horizontal="center"/>
    </xf>
    <xf numFmtId="0" fontId="1" fillId="0" borderId="123" xfId="0" applyFont="1" applyBorder="1" applyAlignment="1">
      <alignment horizontal="right"/>
    </xf>
    <xf numFmtId="0" fontId="1" fillId="0" borderId="117" xfId="0" applyFont="1" applyBorder="1" applyAlignment="1">
      <alignment horizontal="right"/>
    </xf>
    <xf numFmtId="0" fontId="1" fillId="0" borderId="118" xfId="0" applyFont="1" applyBorder="1" applyAlignment="1">
      <alignment horizontal="right"/>
    </xf>
    <xf numFmtId="0" fontId="1" fillId="0" borderId="125" xfId="0" applyFont="1" applyBorder="1" applyAlignment="1">
      <alignment horizontal="right"/>
    </xf>
    <xf numFmtId="0" fontId="1" fillId="0" borderId="121" xfId="0" applyFont="1" applyBorder="1" applyAlignment="1">
      <alignment horizontal="right"/>
    </xf>
    <xf numFmtId="0" fontId="1" fillId="0" borderId="122" xfId="0" applyFont="1" applyBorder="1" applyAlignment="1">
      <alignment horizontal="right"/>
    </xf>
    <xf numFmtId="3" fontId="6" fillId="0" borderId="107" xfId="0" applyNumberFormat="1" applyFont="1" applyBorder="1" applyAlignment="1">
      <alignment horizontal="center"/>
    </xf>
    <xf numFmtId="3" fontId="6" fillId="0" borderId="108" xfId="0" applyNumberFormat="1" applyFont="1" applyBorder="1" applyAlignment="1">
      <alignment horizontal="center"/>
    </xf>
    <xf numFmtId="3" fontId="6" fillId="0" borderId="109" xfId="0" applyNumberFormat="1" applyFont="1" applyBorder="1" applyAlignment="1">
      <alignment horizontal="center"/>
    </xf>
    <xf numFmtId="3" fontId="6" fillId="0" borderId="112" xfId="0" applyNumberFormat="1" applyFont="1" applyBorder="1" applyAlignment="1">
      <alignment horizontal="center"/>
    </xf>
    <xf numFmtId="3" fontId="6" fillId="0" borderId="110" xfId="0" applyNumberFormat="1" applyFont="1" applyBorder="1" applyAlignment="1">
      <alignment horizontal="center"/>
    </xf>
    <xf numFmtId="3" fontId="6" fillId="0" borderId="111" xfId="0" applyNumberFormat="1" applyFont="1" applyBorder="1" applyAlignment="1">
      <alignment horizontal="center"/>
    </xf>
    <xf numFmtId="0" fontId="6" fillId="0" borderId="107" xfId="0" applyFont="1" applyBorder="1" applyAlignment="1">
      <alignment horizontal="center" wrapText="1"/>
    </xf>
    <xf numFmtId="0" fontId="6" fillId="0" borderId="108" xfId="0" applyFont="1" applyBorder="1" applyAlignment="1">
      <alignment horizontal="center" wrapText="1"/>
    </xf>
    <xf numFmtId="0" fontId="6" fillId="0" borderId="109" xfId="0" applyFont="1" applyBorder="1" applyAlignment="1">
      <alignment horizontal="center" wrapText="1"/>
    </xf>
    <xf numFmtId="0" fontId="6" fillId="0" borderId="145" xfId="0" applyFont="1" applyBorder="1" applyAlignment="1">
      <alignment horizontal="center" wrapText="1"/>
    </xf>
    <xf numFmtId="0" fontId="6" fillId="0" borderId="146" xfId="0" applyFont="1" applyBorder="1" applyAlignment="1">
      <alignment horizontal="center" wrapText="1"/>
    </xf>
    <xf numFmtId="0" fontId="6" fillId="0" borderId="147" xfId="0" applyFont="1" applyBorder="1" applyAlignment="1">
      <alignment horizontal="center" wrapText="1"/>
    </xf>
    <xf numFmtId="0" fontId="6" fillId="0" borderId="108" xfId="0" applyFont="1" applyBorder="1" applyAlignment="1">
      <alignment horizontal="center"/>
    </xf>
    <xf numFmtId="0" fontId="6" fillId="0" borderId="109" xfId="0" applyFont="1" applyBorder="1" applyAlignment="1">
      <alignment horizontal="center"/>
    </xf>
    <xf numFmtId="0" fontId="6" fillId="0" borderId="112" xfId="0" applyFont="1" applyBorder="1" applyAlignment="1">
      <alignment horizontal="center"/>
    </xf>
    <xf numFmtId="0" fontId="6" fillId="0" borderId="110" xfId="0" applyFont="1" applyBorder="1" applyAlignment="1">
      <alignment horizontal="center"/>
    </xf>
    <xf numFmtId="0" fontId="6" fillId="0" borderId="111" xfId="0" applyFont="1" applyBorder="1" applyAlignment="1">
      <alignment horizontal="center"/>
    </xf>
    <xf numFmtId="0" fontId="16" fillId="0" borderId="105" xfId="0" applyFont="1" applyBorder="1" applyAlignment="1">
      <alignment horizontal="center"/>
    </xf>
    <xf numFmtId="0" fontId="16" fillId="0" borderId="106" xfId="0" applyFont="1" applyBorder="1" applyAlignment="1">
      <alignment horizontal="center"/>
    </xf>
    <xf numFmtId="0" fontId="51" fillId="0" borderId="107" xfId="0" applyFont="1" applyBorder="1" applyAlignment="1">
      <alignment horizontal="justify" wrapText="1"/>
    </xf>
    <xf numFmtId="0" fontId="51" fillId="0" borderId="108" xfId="0" applyFont="1" applyBorder="1" applyAlignment="1">
      <alignment horizontal="justify"/>
    </xf>
    <xf numFmtId="0" fontId="51" fillId="0" borderId="109" xfId="0" applyFont="1" applyBorder="1" applyAlignment="1">
      <alignment horizontal="justify"/>
    </xf>
    <xf numFmtId="0" fontId="51" fillId="0" borderId="105" xfId="0" applyFont="1" applyBorder="1" applyAlignment="1">
      <alignment horizontal="justify"/>
    </xf>
    <xf numFmtId="0" fontId="51" fillId="0" borderId="0" xfId="0" applyFont="1" applyAlignment="1">
      <alignment horizontal="justify"/>
    </xf>
    <xf numFmtId="0" fontId="51" fillId="0" borderId="106" xfId="0" applyFont="1" applyBorder="1" applyAlignment="1">
      <alignment horizontal="justify"/>
    </xf>
    <xf numFmtId="0" fontId="46" fillId="0" borderId="130" xfId="0" applyFont="1" applyBorder="1" applyAlignment="1">
      <alignment horizontal="left" vertical="top"/>
    </xf>
    <xf numFmtId="0" fontId="46" fillId="0" borderId="131" xfId="0" applyFont="1" applyBorder="1" applyAlignment="1">
      <alignment horizontal="left" vertical="top"/>
    </xf>
    <xf numFmtId="0" fontId="46" fillId="0" borderId="132" xfId="0" applyFont="1" applyBorder="1" applyAlignment="1">
      <alignment horizontal="left" vertical="top"/>
    </xf>
    <xf numFmtId="0" fontId="6" fillId="0" borderId="107" xfId="0" applyFont="1" applyBorder="1" applyAlignment="1">
      <alignment horizontal="left" vertical="top" wrapText="1"/>
    </xf>
    <xf numFmtId="0" fontId="6" fillId="0" borderId="108" xfId="0" applyFont="1" applyBorder="1" applyAlignment="1">
      <alignment horizontal="left" vertical="top"/>
    </xf>
    <xf numFmtId="0" fontId="6" fillId="0" borderId="109" xfId="0" applyFont="1" applyBorder="1" applyAlignment="1">
      <alignment horizontal="left" vertical="top"/>
    </xf>
    <xf numFmtId="0" fontId="6" fillId="0" borderId="105" xfId="0" applyFont="1" applyBorder="1" applyAlignment="1">
      <alignment horizontal="left" vertical="top" wrapText="1"/>
    </xf>
    <xf numFmtId="0" fontId="6" fillId="0" borderId="106" xfId="0" applyFont="1" applyBorder="1" applyAlignment="1">
      <alignment horizontal="left" vertical="top"/>
    </xf>
    <xf numFmtId="0" fontId="6" fillId="0" borderId="105" xfId="0" applyFont="1" applyBorder="1" applyAlignment="1">
      <alignment horizontal="left" vertical="top"/>
    </xf>
    <xf numFmtId="0" fontId="46" fillId="0" borderId="105" xfId="0" applyFont="1" applyBorder="1" applyAlignment="1">
      <alignment horizontal="left" vertical="top"/>
    </xf>
    <xf numFmtId="0" fontId="46" fillId="0" borderId="0" xfId="0" applyFont="1" applyAlignment="1">
      <alignment horizontal="left" vertical="top"/>
    </xf>
    <xf numFmtId="0" fontId="46" fillId="0" borderId="108" xfId="0" applyFont="1" applyBorder="1" applyAlignment="1">
      <alignment horizontal="left" vertical="top"/>
    </xf>
    <xf numFmtId="0" fontId="46" fillId="0" borderId="109" xfId="0" applyFont="1" applyBorder="1" applyAlignment="1">
      <alignment horizontal="left" vertical="top"/>
    </xf>
    <xf numFmtId="0" fontId="6" fillId="0" borderId="112" xfId="0" applyFont="1" applyBorder="1" applyAlignment="1">
      <alignment horizontal="left" vertical="top"/>
    </xf>
    <xf numFmtId="0" fontId="6" fillId="0" borderId="110" xfId="0" applyFont="1" applyBorder="1" applyAlignment="1">
      <alignment horizontal="left" vertical="top"/>
    </xf>
    <xf numFmtId="0" fontId="6" fillId="0" borderId="111" xfId="0" applyFont="1" applyBorder="1" applyAlignment="1">
      <alignment horizontal="left" vertical="top"/>
    </xf>
    <xf numFmtId="0" fontId="46" fillId="0" borderId="137" xfId="0" applyFont="1" applyBorder="1" applyAlignment="1">
      <alignment horizontal="center" vertical="center"/>
    </xf>
    <xf numFmtId="0" fontId="46" fillId="0" borderId="138" xfId="0" applyFont="1" applyBorder="1" applyAlignment="1">
      <alignment horizontal="center" vertical="center"/>
    </xf>
    <xf numFmtId="0" fontId="46" fillId="0" borderId="139" xfId="0" applyFont="1" applyBorder="1" applyAlignment="1">
      <alignment horizontal="center" vertical="center"/>
    </xf>
    <xf numFmtId="0" fontId="46" fillId="0" borderId="141" xfId="0" applyFont="1" applyBorder="1" applyAlignment="1">
      <alignment horizontal="center" wrapText="1"/>
    </xf>
    <xf numFmtId="0" fontId="46" fillId="0" borderId="142" xfId="0" applyFont="1" applyBorder="1" applyAlignment="1">
      <alignment horizontal="center" wrapText="1"/>
    </xf>
    <xf numFmtId="0" fontId="46" fillId="0" borderId="143" xfId="0" applyFont="1" applyBorder="1" applyAlignment="1">
      <alignment horizontal="center" wrapText="1"/>
    </xf>
    <xf numFmtId="1" fontId="6" fillId="0" borderId="107" xfId="1" applyNumberFormat="1" applyFont="1" applyBorder="1" applyAlignment="1">
      <alignment horizontal="center" vertical="top"/>
    </xf>
    <xf numFmtId="1" fontId="6" fillId="0" borderId="108" xfId="1" applyNumberFormat="1" applyFont="1" applyBorder="1" applyAlignment="1">
      <alignment horizontal="center" vertical="top"/>
    </xf>
    <xf numFmtId="1" fontId="6" fillId="0" borderId="109" xfId="1" applyNumberFormat="1" applyFont="1" applyBorder="1" applyAlignment="1">
      <alignment horizontal="center" vertical="top"/>
    </xf>
    <xf numFmtId="1" fontId="6" fillId="0" borderId="105" xfId="1" applyNumberFormat="1" applyFont="1" applyBorder="1" applyAlignment="1">
      <alignment horizontal="center" vertical="top"/>
    </xf>
    <xf numFmtId="1" fontId="6" fillId="0" borderId="106" xfId="1" applyNumberFormat="1" applyFont="1" applyBorder="1" applyAlignment="1">
      <alignment horizontal="center" vertical="top"/>
    </xf>
    <xf numFmtId="1" fontId="6" fillId="0" borderId="112" xfId="1" applyNumberFormat="1" applyFont="1" applyBorder="1" applyAlignment="1">
      <alignment horizontal="center" vertical="top"/>
    </xf>
    <xf numFmtId="1" fontId="6" fillId="0" borderId="110" xfId="1" applyNumberFormat="1" applyFont="1" applyBorder="1" applyAlignment="1">
      <alignment horizontal="center" vertical="top"/>
    </xf>
    <xf numFmtId="1" fontId="6" fillId="0" borderId="111" xfId="1" applyNumberFormat="1" applyFont="1" applyBorder="1" applyAlignment="1">
      <alignment horizontal="center" vertical="top"/>
    </xf>
    <xf numFmtId="164" fontId="6" fillId="0" borderId="112" xfId="1" applyNumberFormat="1" applyFont="1" applyBorder="1" applyAlignment="1">
      <alignment horizontal="center" vertical="top"/>
    </xf>
    <xf numFmtId="164" fontId="6" fillId="0" borderId="110" xfId="1" applyNumberFormat="1" applyFont="1" applyBorder="1" applyAlignment="1">
      <alignment horizontal="center" vertical="top"/>
    </xf>
    <xf numFmtId="164" fontId="6" fillId="0" borderId="111" xfId="1" applyNumberFormat="1" applyFont="1" applyBorder="1" applyAlignment="1">
      <alignment horizontal="center" vertical="top"/>
    </xf>
    <xf numFmtId="0" fontId="50" fillId="0" borderId="116" xfId="0" applyFont="1" applyBorder="1" applyAlignment="1">
      <alignment horizontal="justify" vertical="top" wrapText="1"/>
    </xf>
    <xf numFmtId="0" fontId="50" fillId="0" borderId="117" xfId="0" applyFont="1" applyBorder="1" applyAlignment="1">
      <alignment horizontal="justify" vertical="top"/>
    </xf>
    <xf numFmtId="0" fontId="50" fillId="0" borderId="118" xfId="0" applyFont="1" applyBorder="1" applyAlignment="1">
      <alignment horizontal="justify" vertical="top"/>
    </xf>
    <xf numFmtId="0" fontId="50" fillId="0" borderId="10" xfId="0" applyFont="1" applyBorder="1" applyAlignment="1">
      <alignment horizontal="justify" vertical="top"/>
    </xf>
    <xf numFmtId="0" fontId="50" fillId="0" borderId="11" xfId="0" applyFont="1" applyBorder="1" applyAlignment="1">
      <alignment horizontal="justify" vertical="top"/>
    </xf>
    <xf numFmtId="0" fontId="50" fillId="0" borderId="119" xfId="0" applyFont="1" applyBorder="1" applyAlignment="1">
      <alignment horizontal="justify" vertical="top"/>
    </xf>
    <xf numFmtId="0" fontId="50" fillId="0" borderId="120" xfId="0" applyFont="1" applyBorder="1" applyAlignment="1">
      <alignment horizontal="justify" vertical="top"/>
    </xf>
    <xf numFmtId="0" fontId="50" fillId="0" borderId="121" xfId="0" applyFont="1" applyBorder="1" applyAlignment="1">
      <alignment horizontal="justify" vertical="top"/>
    </xf>
    <xf numFmtId="0" fontId="50" fillId="0" borderId="122" xfId="0" applyFont="1" applyBorder="1" applyAlignment="1">
      <alignment horizontal="justify" vertical="top"/>
    </xf>
    <xf numFmtId="0" fontId="25" fillId="0" borderId="105" xfId="0" applyFont="1" applyBorder="1" applyAlignment="1">
      <alignment horizontal="left" vertical="top" wrapText="1"/>
    </xf>
    <xf numFmtId="0" fontId="25" fillId="0" borderId="0" xfId="0" applyFont="1" applyAlignment="1">
      <alignment horizontal="left" vertical="top"/>
    </xf>
    <xf numFmtId="0" fontId="25" fillId="0" borderId="106" xfId="0" applyFont="1" applyBorder="1" applyAlignment="1">
      <alignment horizontal="left" vertical="top"/>
    </xf>
    <xf numFmtId="0" fontId="25" fillId="0" borderId="105" xfId="0" applyFont="1" applyBorder="1" applyAlignment="1">
      <alignment horizontal="left" vertical="top"/>
    </xf>
    <xf numFmtId="0" fontId="25" fillId="0" borderId="112" xfId="0" applyFont="1" applyBorder="1" applyAlignment="1">
      <alignment horizontal="left" vertical="top"/>
    </xf>
    <xf numFmtId="0" fontId="25" fillId="0" borderId="110" xfId="0" applyFont="1" applyBorder="1" applyAlignment="1">
      <alignment horizontal="left" vertical="top"/>
    </xf>
    <xf numFmtId="0" fontId="25" fillId="0" borderId="111" xfId="0" applyFont="1" applyBorder="1" applyAlignment="1">
      <alignment horizontal="left" vertical="top"/>
    </xf>
    <xf numFmtId="0" fontId="5" fillId="0" borderId="108" xfId="0" applyFont="1" applyBorder="1" applyAlignment="1">
      <alignment horizontal="center" vertical="center"/>
    </xf>
    <xf numFmtId="0" fontId="5" fillId="0" borderId="109" xfId="0" applyFont="1" applyBorder="1" applyAlignment="1">
      <alignment horizontal="center" vertical="center"/>
    </xf>
    <xf numFmtId="0" fontId="5" fillId="0" borderId="106" xfId="0" applyFont="1" applyBorder="1" applyAlignment="1">
      <alignment horizontal="center" vertical="center"/>
    </xf>
    <xf numFmtId="0" fontId="5" fillId="0" borderId="110" xfId="0" applyFont="1" applyBorder="1" applyAlignment="1">
      <alignment horizontal="center" vertical="center"/>
    </xf>
    <xf numFmtId="0" fontId="5" fillId="0" borderId="111" xfId="0" applyFont="1" applyBorder="1" applyAlignment="1">
      <alignment horizontal="center" vertical="center"/>
    </xf>
    <xf numFmtId="0" fontId="46" fillId="0" borderId="107" xfId="0" applyFont="1" applyBorder="1" applyAlignment="1">
      <alignment horizontal="left" vertical="top"/>
    </xf>
    <xf numFmtId="0" fontId="46" fillId="0" borderId="106" xfId="0" applyFont="1" applyBorder="1" applyAlignment="1">
      <alignment horizontal="left" vertical="top"/>
    </xf>
    <xf numFmtId="0" fontId="46" fillId="0" borderId="112" xfId="0" applyFont="1" applyBorder="1" applyAlignment="1">
      <alignment horizontal="left" vertical="top"/>
    </xf>
    <xf numFmtId="0" fontId="46" fillId="0" borderId="110" xfId="0" applyFont="1" applyBorder="1" applyAlignment="1">
      <alignment horizontal="left" vertical="top"/>
    </xf>
    <xf numFmtId="0" fontId="46" fillId="0" borderId="111" xfId="0" applyFont="1" applyBorder="1" applyAlignment="1">
      <alignment horizontal="left" vertical="top"/>
    </xf>
    <xf numFmtId="0" fontId="6" fillId="0" borderId="105" xfId="0" applyFont="1" applyBorder="1" applyAlignment="1">
      <alignment horizontal="left" vertical="center"/>
    </xf>
    <xf numFmtId="0" fontId="6" fillId="0" borderId="112" xfId="0" applyFont="1" applyBorder="1" applyAlignment="1">
      <alignment horizontal="left" vertical="center"/>
    </xf>
    <xf numFmtId="0" fontId="6" fillId="0" borderId="110" xfId="0" applyFont="1" applyBorder="1" applyAlignment="1">
      <alignment horizontal="left" vertical="center"/>
    </xf>
    <xf numFmtId="0" fontId="46" fillId="0" borderId="123" xfId="0" applyFont="1" applyBorder="1" applyAlignment="1">
      <alignment horizontal="left" vertical="top"/>
    </xf>
    <xf numFmtId="0" fontId="46" fillId="0" borderId="117" xfId="0" applyFont="1" applyBorder="1" applyAlignment="1">
      <alignment horizontal="left" vertical="top"/>
    </xf>
    <xf numFmtId="0" fontId="46" fillId="0" borderId="118" xfId="0" applyFont="1" applyBorder="1" applyAlignment="1">
      <alignment horizontal="left" vertical="top"/>
    </xf>
    <xf numFmtId="0" fontId="46" fillId="0" borderId="125" xfId="0" applyFont="1" applyBorder="1" applyAlignment="1">
      <alignment horizontal="left" vertical="top"/>
    </xf>
    <xf numFmtId="0" fontId="46" fillId="0" borderId="121" xfId="0" applyFont="1" applyBorder="1" applyAlignment="1">
      <alignment horizontal="left" vertical="top"/>
    </xf>
    <xf numFmtId="0" fontId="46" fillId="0" borderId="122" xfId="0" applyFont="1" applyBorder="1" applyAlignment="1">
      <alignment horizontal="left" vertical="top"/>
    </xf>
    <xf numFmtId="0" fontId="46" fillId="0" borderId="3" xfId="0" applyFont="1" applyBorder="1" applyAlignment="1">
      <alignment horizontal="left" vertical="top"/>
    </xf>
    <xf numFmtId="0" fontId="46" fillId="0" borderId="124" xfId="0" applyFont="1" applyBorder="1" applyAlignment="1">
      <alignment horizontal="left" vertical="top"/>
    </xf>
    <xf numFmtId="0" fontId="46" fillId="0" borderId="126" xfId="0" applyFont="1" applyBorder="1" applyAlignment="1">
      <alignment horizontal="left" vertical="top"/>
    </xf>
    <xf numFmtId="0" fontId="6" fillId="0" borderId="123" xfId="0" applyFont="1" applyBorder="1" applyAlignment="1">
      <alignment horizontal="center" vertical="center"/>
    </xf>
    <xf numFmtId="0" fontId="6" fillId="0" borderId="117" xfId="0" applyFont="1" applyBorder="1" applyAlignment="1">
      <alignment horizontal="center" vertical="center"/>
    </xf>
    <xf numFmtId="0" fontId="6" fillId="0" borderId="118" xfId="0" applyFont="1" applyBorder="1" applyAlignment="1">
      <alignment horizontal="center" vertical="center"/>
    </xf>
    <xf numFmtId="0" fontId="6" fillId="0" borderId="128" xfId="0" applyFont="1" applyBorder="1" applyAlignment="1">
      <alignment horizontal="center" vertical="center"/>
    </xf>
    <xf numFmtId="0" fontId="6" fillId="0" borderId="129" xfId="0" applyFont="1" applyBorder="1" applyAlignment="1">
      <alignment horizontal="center" vertical="center"/>
    </xf>
    <xf numFmtId="0" fontId="46" fillId="0" borderId="128" xfId="0" applyFont="1" applyBorder="1" applyAlignment="1">
      <alignment horizontal="left" vertical="top"/>
    </xf>
    <xf numFmtId="0" fontId="46" fillId="0" borderId="12" xfId="0" applyFont="1" applyBorder="1" applyAlignment="1">
      <alignment horizontal="left" vertical="top"/>
    </xf>
    <xf numFmtId="0" fontId="46" fillId="0" borderId="129" xfId="0" applyFont="1" applyBorder="1" applyAlignment="1">
      <alignment horizontal="left" vertical="top"/>
    </xf>
    <xf numFmtId="0" fontId="1" fillId="0" borderId="61" xfId="0" applyFont="1" applyBorder="1" applyAlignment="1">
      <alignment horizontal="center"/>
    </xf>
    <xf numFmtId="0" fontId="2" fillId="0" borderId="62" xfId="0" applyFont="1" applyBorder="1" applyAlignment="1">
      <alignment horizontal="center"/>
    </xf>
    <xf numFmtId="0" fontId="2" fillId="0" borderId="61" xfId="0" applyFont="1" applyBorder="1" applyAlignment="1">
      <alignment horizontal="center"/>
    </xf>
    <xf numFmtId="0" fontId="1" fillId="0" borderId="63" xfId="0" applyFont="1" applyBorder="1" applyAlignment="1">
      <alignment horizontal="center"/>
    </xf>
    <xf numFmtId="0" fontId="40" fillId="0" borderId="70" xfId="0" applyFont="1" applyBorder="1" applyAlignment="1">
      <alignment horizontal="left" vertical="center"/>
    </xf>
    <xf numFmtId="0" fontId="40" fillId="0" borderId="71" xfId="0" applyFont="1" applyBorder="1" applyAlignment="1">
      <alignment horizontal="left" vertical="center"/>
    </xf>
    <xf numFmtId="0" fontId="40" fillId="0" borderId="72" xfId="0" applyFont="1" applyBorder="1" applyAlignment="1">
      <alignment horizontal="left" vertical="center"/>
    </xf>
    <xf numFmtId="0" fontId="37" fillId="2" borderId="65" xfId="0" applyFont="1" applyFill="1" applyBorder="1" applyAlignment="1">
      <alignment horizontal="center" vertical="center"/>
    </xf>
    <xf numFmtId="0" fontId="37" fillId="2" borderId="67" xfId="0" applyFont="1" applyFill="1" applyBorder="1" applyAlignment="1">
      <alignment horizontal="center" vertical="center"/>
    </xf>
    <xf numFmtId="0" fontId="37" fillId="0" borderId="64" xfId="0" applyFont="1" applyBorder="1" applyAlignment="1">
      <alignment horizontal="center" vertical="center"/>
    </xf>
    <xf numFmtId="0" fontId="37" fillId="0" borderId="65" xfId="0" applyFont="1" applyBorder="1" applyAlignment="1">
      <alignment horizontal="center" vertical="center"/>
    </xf>
    <xf numFmtId="0" fontId="37" fillId="0" borderId="67" xfId="0" applyFont="1" applyBorder="1" applyAlignment="1">
      <alignment horizontal="center" vertical="center"/>
    </xf>
    <xf numFmtId="0" fontId="37" fillId="0" borderId="64" xfId="0" applyFont="1" applyBorder="1" applyAlignment="1">
      <alignment horizontal="center" vertical="center" wrapText="1"/>
    </xf>
    <xf numFmtId="0" fontId="37" fillId="0" borderId="65" xfId="0" applyFont="1" applyBorder="1" applyAlignment="1">
      <alignment horizontal="center" vertical="center" wrapText="1"/>
    </xf>
    <xf numFmtId="0" fontId="37" fillId="0" borderId="67" xfId="0" applyFont="1" applyBorder="1" applyAlignment="1">
      <alignment horizontal="center" vertical="center" wrapText="1"/>
    </xf>
    <xf numFmtId="0" fontId="6" fillId="0" borderId="62" xfId="0" applyFont="1" applyBorder="1" applyAlignment="1">
      <alignment horizontal="center" vertical="top"/>
    </xf>
    <xf numFmtId="0" fontId="6" fillId="0" borderId="63" xfId="0" applyFont="1" applyBorder="1" applyAlignment="1">
      <alignment horizontal="center" vertical="top"/>
    </xf>
    <xf numFmtId="0" fontId="6" fillId="0" borderId="69" xfId="0" applyFont="1" applyBorder="1" applyAlignment="1">
      <alignment horizontal="center" vertical="top"/>
    </xf>
    <xf numFmtId="0" fontId="6" fillId="0" borderId="68" xfId="0" applyFont="1" applyBorder="1" applyAlignment="1">
      <alignment horizontal="center" vertical="center"/>
    </xf>
    <xf numFmtId="0" fontId="6" fillId="0" borderId="63" xfId="0" applyFont="1" applyBorder="1" applyAlignment="1">
      <alignment horizontal="center" vertical="center"/>
    </xf>
    <xf numFmtId="0" fontId="6" fillId="0" borderId="69" xfId="0" applyFont="1" applyBorder="1" applyAlignment="1">
      <alignment horizontal="center" vertical="center"/>
    </xf>
    <xf numFmtId="0" fontId="43" fillId="0" borderId="70" xfId="0" applyFont="1" applyBorder="1" applyAlignment="1">
      <alignment horizontal="center" vertical="top" wrapText="1"/>
    </xf>
    <xf numFmtId="0" fontId="43" fillId="0" borderId="72" xfId="0" applyFont="1" applyBorder="1" applyAlignment="1">
      <alignment horizontal="center" vertical="top"/>
    </xf>
    <xf numFmtId="0" fontId="43" fillId="0" borderId="85" xfId="0" applyFont="1" applyBorder="1" applyAlignment="1">
      <alignment horizontal="center" vertical="top" wrapText="1"/>
    </xf>
    <xf numFmtId="0" fontId="43" fillId="0" borderId="86" xfId="0" applyFont="1" applyBorder="1" applyAlignment="1">
      <alignment horizontal="center" vertical="top"/>
    </xf>
    <xf numFmtId="0" fontId="43" fillId="0" borderId="85" xfId="0" applyFont="1" applyBorder="1" applyAlignment="1">
      <alignment horizontal="center" vertical="top"/>
    </xf>
    <xf numFmtId="0" fontId="6" fillId="0" borderId="63" xfId="0" applyFont="1" applyBorder="1" applyAlignment="1">
      <alignment horizontal="center" vertical="top" wrapText="1"/>
    </xf>
    <xf numFmtId="0" fontId="6" fillId="0" borderId="68" xfId="0" applyFont="1" applyBorder="1" applyAlignment="1">
      <alignment horizontal="center" vertical="top" wrapText="1"/>
    </xf>
    <xf numFmtId="0" fontId="6" fillId="0" borderId="69" xfId="0" applyFont="1" applyBorder="1" applyAlignment="1">
      <alignment horizontal="center" vertical="top" wrapText="1"/>
    </xf>
    <xf numFmtId="0" fontId="42" fillId="0" borderId="64" xfId="0" applyFont="1" applyBorder="1" applyAlignment="1">
      <alignment horizontal="left" vertical="top"/>
    </xf>
    <xf numFmtId="0" fontId="42" fillId="0" borderId="65" xfId="0" applyFont="1" applyBorder="1" applyAlignment="1">
      <alignment horizontal="left" vertical="top"/>
    </xf>
    <xf numFmtId="0" fontId="42" fillId="0" borderId="67" xfId="0" applyFont="1" applyBorder="1" applyAlignment="1">
      <alignment horizontal="left" vertical="top"/>
    </xf>
    <xf numFmtId="0" fontId="37" fillId="0" borderId="70" xfId="0" applyFont="1" applyBorder="1" applyAlignment="1">
      <alignment horizontal="center" vertical="center"/>
    </xf>
    <xf numFmtId="0" fontId="37" fillId="0" borderId="71" xfId="0" applyFont="1" applyBorder="1" applyAlignment="1">
      <alignment horizontal="center" vertical="center"/>
    </xf>
    <xf numFmtId="0" fontId="37" fillId="0" borderId="72" xfId="0" applyFont="1" applyBorder="1" applyAlignment="1">
      <alignment horizontal="center" vertical="center"/>
    </xf>
    <xf numFmtId="0" fontId="37" fillId="0" borderId="0" xfId="0" applyFont="1" applyAlignment="1">
      <alignment horizontal="center" vertical="center" wrapText="1"/>
    </xf>
    <xf numFmtId="0" fontId="16" fillId="0" borderId="62" xfId="0" applyFont="1" applyBorder="1" applyAlignment="1">
      <alignment horizontal="center"/>
    </xf>
    <xf numFmtId="0" fontId="16" fillId="0" borderId="61" xfId="0" applyFont="1" applyBorder="1" applyAlignment="1">
      <alignment horizontal="center"/>
    </xf>
    <xf numFmtId="0" fontId="16" fillId="0" borderId="97" xfId="0" applyFont="1" applyBorder="1" applyAlignment="1">
      <alignment horizontal="center"/>
    </xf>
    <xf numFmtId="0" fontId="16" fillId="0" borderId="98" xfId="0" applyFont="1" applyBorder="1" applyAlignment="1">
      <alignment horizontal="center"/>
    </xf>
    <xf numFmtId="0" fontId="16" fillId="0" borderId="102" xfId="0" applyFont="1" applyBorder="1" applyAlignment="1">
      <alignment horizontal="center"/>
    </xf>
    <xf numFmtId="1" fontId="6" fillId="0" borderId="64" xfId="1" applyNumberFormat="1" applyFont="1" applyBorder="1" applyAlignment="1">
      <alignment horizontal="center" vertical="top"/>
    </xf>
    <xf numFmtId="1" fontId="6" fillId="0" borderId="65" xfId="1" applyNumberFormat="1" applyFont="1" applyBorder="1" applyAlignment="1">
      <alignment horizontal="center" vertical="top"/>
    </xf>
    <xf numFmtId="1" fontId="6" fillId="0" borderId="67" xfId="1" applyNumberFormat="1" applyFont="1" applyBorder="1" applyAlignment="1">
      <alignment horizontal="center" vertical="top"/>
    </xf>
    <xf numFmtId="1" fontId="6" fillId="0" borderId="62" xfId="1" applyNumberFormat="1" applyFont="1" applyBorder="1" applyAlignment="1">
      <alignment horizontal="center" vertical="top"/>
    </xf>
    <xf numFmtId="1" fontId="6" fillId="0" borderId="61" xfId="1" applyNumberFormat="1" applyFont="1" applyBorder="1" applyAlignment="1">
      <alignment horizontal="center" vertical="top"/>
    </xf>
    <xf numFmtId="1" fontId="6" fillId="0" borderId="68" xfId="1" applyNumberFormat="1" applyFont="1" applyBorder="1" applyAlignment="1">
      <alignment horizontal="center" vertical="top"/>
    </xf>
    <xf numFmtId="1" fontId="6" fillId="0" borderId="63" xfId="1" applyNumberFormat="1" applyFont="1" applyBorder="1" applyAlignment="1">
      <alignment horizontal="center" vertical="top"/>
    </xf>
    <xf numFmtId="1" fontId="6" fillId="0" borderId="69" xfId="1" applyNumberFormat="1" applyFont="1" applyBorder="1" applyAlignment="1">
      <alignment horizontal="center" vertical="top"/>
    </xf>
    <xf numFmtId="164" fontId="6" fillId="0" borderId="64" xfId="1" applyNumberFormat="1" applyFont="1" applyBorder="1" applyAlignment="1">
      <alignment horizontal="center" vertical="top"/>
    </xf>
    <xf numFmtId="164" fontId="6" fillId="0" borderId="65" xfId="1" applyNumberFormat="1" applyFont="1" applyBorder="1" applyAlignment="1">
      <alignment horizontal="center" vertical="top"/>
    </xf>
    <xf numFmtId="164" fontId="6" fillId="0" borderId="67" xfId="1" applyNumberFormat="1" applyFont="1" applyBorder="1" applyAlignment="1">
      <alignment horizontal="center" vertical="top"/>
    </xf>
    <xf numFmtId="164" fontId="6" fillId="0" borderId="62" xfId="1" applyNumberFormat="1" applyFont="1" applyBorder="1" applyAlignment="1">
      <alignment horizontal="center" vertical="top"/>
    </xf>
    <xf numFmtId="164" fontId="6" fillId="0" borderId="61" xfId="1" applyNumberFormat="1" applyFont="1" applyBorder="1" applyAlignment="1">
      <alignment horizontal="center" vertical="top"/>
    </xf>
    <xf numFmtId="164" fontId="6" fillId="0" borderId="68" xfId="1" applyNumberFormat="1" applyFont="1" applyBorder="1" applyAlignment="1">
      <alignment horizontal="center" vertical="top"/>
    </xf>
    <xf numFmtId="164" fontId="6" fillId="0" borderId="63" xfId="1" applyNumberFormat="1" applyFont="1" applyBorder="1" applyAlignment="1">
      <alignment horizontal="center" vertical="top"/>
    </xf>
    <xf numFmtId="164" fontId="6" fillId="0" borderId="69" xfId="1" applyNumberFormat="1" applyFont="1" applyBorder="1" applyAlignment="1">
      <alignment horizontal="center" vertical="top"/>
    </xf>
    <xf numFmtId="0" fontId="17" fillId="0" borderId="65" xfId="0" applyFont="1" applyBorder="1" applyAlignment="1">
      <alignment horizontal="center" vertical="top"/>
    </xf>
    <xf numFmtId="0" fontId="37" fillId="0" borderId="73" xfId="0" applyFont="1" applyBorder="1" applyAlignment="1">
      <alignment horizontal="center" vertical="center" wrapText="1"/>
    </xf>
    <xf numFmtId="0" fontId="37" fillId="0" borderId="74" xfId="0" applyFont="1" applyBorder="1" applyAlignment="1">
      <alignment horizontal="center" vertical="center" wrapText="1"/>
    </xf>
    <xf numFmtId="0" fontId="37" fillId="0" borderId="75" xfId="0" applyFont="1" applyBorder="1" applyAlignment="1">
      <alignment horizontal="center" vertical="center" wrapText="1"/>
    </xf>
    <xf numFmtId="0" fontId="37" fillId="0" borderId="78" xfId="0" applyFont="1" applyBorder="1" applyAlignment="1">
      <alignment horizontal="center" vertical="center" wrapText="1"/>
    </xf>
    <xf numFmtId="0" fontId="37" fillId="0" borderId="79" xfId="0" applyFont="1" applyBorder="1" applyAlignment="1">
      <alignment horizontal="center" vertical="center" wrapText="1"/>
    </xf>
    <xf numFmtId="0" fontId="37" fillId="0" borderId="80" xfId="0" applyFont="1" applyBorder="1" applyAlignment="1">
      <alignment horizontal="center" vertical="center" wrapText="1"/>
    </xf>
    <xf numFmtId="0" fontId="6" fillId="0" borderId="90" xfId="0" applyFont="1" applyBorder="1" applyAlignment="1">
      <alignment horizontal="center" vertical="top"/>
    </xf>
    <xf numFmtId="0" fontId="6" fillId="0" borderId="91" xfId="0" applyFont="1" applyBorder="1" applyAlignment="1">
      <alignment horizontal="center" vertical="top"/>
    </xf>
    <xf numFmtId="0" fontId="6" fillId="0" borderId="92" xfId="0" applyFont="1" applyBorder="1" applyAlignment="1">
      <alignment horizontal="center" vertical="top"/>
    </xf>
    <xf numFmtId="15" fontId="15" fillId="2" borderId="68" xfId="0" applyNumberFormat="1" applyFont="1" applyFill="1" applyBorder="1" applyAlignment="1">
      <alignment horizontal="center" vertical="top"/>
    </xf>
    <xf numFmtId="15" fontId="15" fillId="2" borderId="63" xfId="0" applyNumberFormat="1" applyFont="1" applyFill="1" applyBorder="1" applyAlignment="1">
      <alignment horizontal="center" vertical="top"/>
    </xf>
    <xf numFmtId="15" fontId="15" fillId="2" borderId="69" xfId="0" applyNumberFormat="1" applyFont="1" applyFill="1" applyBorder="1" applyAlignment="1">
      <alignment horizontal="center" vertical="top"/>
    </xf>
    <xf numFmtId="0" fontId="37" fillId="0" borderId="62" xfId="0" applyFont="1" applyBorder="1" applyAlignment="1">
      <alignment horizontal="left" vertical="top"/>
    </xf>
    <xf numFmtId="0" fontId="37" fillId="0" borderId="0" xfId="0" applyFont="1" applyAlignment="1">
      <alignment horizontal="left" vertical="top"/>
    </xf>
    <xf numFmtId="0" fontId="37" fillId="0" borderId="65" xfId="0" applyFont="1" applyBorder="1" applyAlignment="1">
      <alignment horizontal="left" vertical="top"/>
    </xf>
    <xf numFmtId="0" fontId="37" fillId="0" borderId="67" xfId="0" applyFont="1" applyBorder="1" applyAlignment="1">
      <alignment horizontal="left" vertical="top"/>
    </xf>
    <xf numFmtId="0" fontId="6" fillId="0" borderId="62" xfId="0" applyFont="1" applyBorder="1" applyAlignment="1">
      <alignment horizontal="left" vertical="top" wrapText="1"/>
    </xf>
    <xf numFmtId="0" fontId="6" fillId="0" borderId="0" xfId="0" applyFont="1" applyAlignment="1">
      <alignment horizontal="left" vertical="top" wrapText="1"/>
    </xf>
    <xf numFmtId="0" fontId="6" fillId="0" borderId="61" xfId="0" applyFont="1" applyBorder="1" applyAlignment="1">
      <alignment horizontal="left" vertical="top" wrapText="1"/>
    </xf>
    <xf numFmtId="0" fontId="19" fillId="0" borderId="65" xfId="0" applyFont="1" applyBorder="1" applyAlignment="1">
      <alignment horizontal="center"/>
    </xf>
    <xf numFmtId="0" fontId="37" fillId="0" borderId="68" xfId="0" applyFont="1" applyBorder="1" applyAlignment="1">
      <alignment horizontal="center" vertical="center"/>
    </xf>
    <xf numFmtId="0" fontId="37" fillId="0" borderId="63" xfId="0" applyFont="1" applyBorder="1" applyAlignment="1">
      <alignment horizontal="center" vertical="center"/>
    </xf>
    <xf numFmtId="0" fontId="37" fillId="0" borderId="69" xfId="0" applyFont="1" applyBorder="1" applyAlignment="1">
      <alignment horizontal="center" vertical="center"/>
    </xf>
    <xf numFmtId="165" fontId="6" fillId="0" borderId="64" xfId="0" applyNumberFormat="1" applyFont="1" applyBorder="1" applyAlignment="1">
      <alignment horizontal="center"/>
    </xf>
    <xf numFmtId="165" fontId="6" fillId="0" borderId="65" xfId="0" applyNumberFormat="1" applyFont="1" applyBorder="1" applyAlignment="1">
      <alignment horizontal="center"/>
    </xf>
    <xf numFmtId="165" fontId="6" fillId="0" borderId="67" xfId="0" applyNumberFormat="1" applyFont="1" applyBorder="1" applyAlignment="1">
      <alignment horizontal="center"/>
    </xf>
    <xf numFmtId="165" fontId="6" fillId="0" borderId="68" xfId="0" applyNumberFormat="1" applyFont="1" applyBorder="1" applyAlignment="1">
      <alignment horizontal="center"/>
    </xf>
    <xf numFmtId="165" fontId="6" fillId="0" borderId="63" xfId="0" applyNumberFormat="1" applyFont="1" applyBorder="1" applyAlignment="1">
      <alignment horizontal="center"/>
    </xf>
    <xf numFmtId="165" fontId="6" fillId="0" borderId="69" xfId="0" applyNumberFormat="1" applyFont="1" applyBorder="1" applyAlignment="1">
      <alignment horizontal="center"/>
    </xf>
    <xf numFmtId="0" fontId="6" fillId="0" borderId="65" xfId="0" applyFont="1" applyBorder="1" applyAlignment="1">
      <alignment horizontal="center" vertical="top"/>
    </xf>
    <xf numFmtId="0" fontId="19" fillId="0" borderId="73" xfId="0" applyFont="1" applyBorder="1" applyAlignment="1">
      <alignment horizontal="center"/>
    </xf>
    <xf numFmtId="0" fontId="19" fillId="0" borderId="74" xfId="0" applyFont="1" applyBorder="1" applyAlignment="1">
      <alignment horizontal="center"/>
    </xf>
    <xf numFmtId="0" fontId="19" fillId="0" borderId="75" xfId="0" applyFont="1" applyBorder="1" applyAlignment="1">
      <alignment horizontal="center"/>
    </xf>
    <xf numFmtId="0" fontId="19" fillId="0" borderId="78" xfId="0" applyFont="1" applyBorder="1" applyAlignment="1">
      <alignment horizontal="center"/>
    </xf>
    <xf numFmtId="0" fontId="19" fillId="0" borderId="79" xfId="0" applyFont="1" applyBorder="1" applyAlignment="1">
      <alignment horizontal="center"/>
    </xf>
    <xf numFmtId="0" fontId="19" fillId="0" borderId="80" xfId="0" applyFont="1" applyBorder="1" applyAlignment="1">
      <alignment horizontal="center"/>
    </xf>
    <xf numFmtId="0" fontId="42" fillId="0" borderId="64" xfId="0" applyFont="1" applyBorder="1" applyAlignment="1">
      <alignment horizontal="left" vertical="top" wrapText="1"/>
    </xf>
    <xf numFmtId="0" fontId="42" fillId="0" borderId="65" xfId="0" applyFont="1" applyBorder="1" applyAlignment="1">
      <alignment horizontal="left" vertical="top" wrapText="1"/>
    </xf>
    <xf numFmtId="0" fontId="42" fillId="0" borderId="67" xfId="0" applyFont="1" applyBorder="1" applyAlignment="1">
      <alignment horizontal="left" vertical="top" wrapText="1"/>
    </xf>
    <xf numFmtId="0" fontId="42" fillId="0" borderId="62" xfId="0" applyFont="1" applyBorder="1" applyAlignment="1">
      <alignment horizontal="left" vertical="top" wrapText="1"/>
    </xf>
    <xf numFmtId="0" fontId="42" fillId="0" borderId="0" xfId="0" applyFont="1" applyAlignment="1">
      <alignment horizontal="left" vertical="top" wrapText="1"/>
    </xf>
    <xf numFmtId="0" fontId="42" fillId="0" borderId="61" xfId="0" applyFont="1" applyBorder="1" applyAlignment="1">
      <alignment horizontal="left" vertical="top" wrapText="1"/>
    </xf>
    <xf numFmtId="0" fontId="25" fillId="0" borderId="65" xfId="0" applyFont="1" applyBorder="1" applyAlignment="1">
      <alignment horizontal="left" vertical="top" wrapText="1"/>
    </xf>
    <xf numFmtId="0" fontId="25" fillId="0" borderId="65" xfId="0" applyFont="1" applyBorder="1" applyAlignment="1">
      <alignment horizontal="left" vertical="top"/>
    </xf>
    <xf numFmtId="0" fontId="25" fillId="0" borderId="67" xfId="0" applyFont="1" applyBorder="1" applyAlignment="1">
      <alignment horizontal="left" vertical="top"/>
    </xf>
    <xf numFmtId="0" fontId="25" fillId="0" borderId="61" xfId="0" applyFont="1" applyBorder="1" applyAlignment="1">
      <alignment horizontal="left" vertical="top"/>
    </xf>
    <xf numFmtId="0" fontId="25" fillId="0" borderId="63" xfId="0" applyFont="1" applyBorder="1" applyAlignment="1">
      <alignment horizontal="left" vertical="top"/>
    </xf>
    <xf numFmtId="0" fontId="25" fillId="0" borderId="69" xfId="0" applyFont="1" applyBorder="1" applyAlignment="1">
      <alignment horizontal="left" vertical="top"/>
    </xf>
    <xf numFmtId="0" fontId="45" fillId="0" borderId="65" xfId="0" applyFont="1" applyBorder="1" applyAlignment="1">
      <alignment horizontal="center"/>
    </xf>
    <xf numFmtId="0" fontId="43" fillId="0" borderId="61" xfId="0" applyFont="1" applyBorder="1" applyAlignment="1">
      <alignment horizontal="center" vertical="center" wrapText="1"/>
    </xf>
    <xf numFmtId="0" fontId="43" fillId="0" borderId="61" xfId="0" applyFont="1" applyBorder="1" applyAlignment="1">
      <alignment horizontal="center" vertical="center"/>
    </xf>
    <xf numFmtId="0" fontId="6" fillId="0" borderId="61" xfId="0" applyFont="1" applyBorder="1" applyAlignment="1">
      <alignment horizontal="center" vertical="top"/>
    </xf>
    <xf numFmtId="0" fontId="16" fillId="5" borderId="0" xfId="0" applyFont="1" applyFill="1" applyAlignment="1">
      <alignment horizontal="center"/>
    </xf>
    <xf numFmtId="0" fontId="6" fillId="0" borderId="66" xfId="0" applyFont="1" applyBorder="1" applyAlignment="1">
      <alignment horizontal="center" vertical="top"/>
    </xf>
    <xf numFmtId="0" fontId="6" fillId="0" borderId="99" xfId="0" applyFont="1" applyBorder="1" applyAlignment="1">
      <alignment horizontal="center" vertical="top"/>
    </xf>
    <xf numFmtId="0" fontId="16" fillId="5" borderId="66" xfId="0" applyFont="1" applyFill="1" applyBorder="1" applyAlignment="1">
      <alignment horizontal="center"/>
    </xf>
    <xf numFmtId="0" fontId="16" fillId="5" borderId="99" xfId="0" applyFont="1" applyFill="1" applyBorder="1" applyAlignment="1">
      <alignment horizontal="center"/>
    </xf>
    <xf numFmtId="0" fontId="16" fillId="5" borderId="101" xfId="0" applyFont="1" applyFill="1" applyBorder="1" applyAlignment="1">
      <alignment horizontal="center"/>
    </xf>
    <xf numFmtId="0" fontId="1" fillId="0" borderId="73" xfId="0" applyFont="1" applyBorder="1" applyAlignment="1">
      <alignment horizontal="right"/>
    </xf>
    <xf numFmtId="0" fontId="1" fillId="0" borderId="74" xfId="0" applyFont="1" applyBorder="1" applyAlignment="1">
      <alignment horizontal="right"/>
    </xf>
    <xf numFmtId="0" fontId="1" fillId="0" borderId="75" xfId="0" applyFont="1" applyBorder="1" applyAlignment="1">
      <alignment horizontal="right"/>
    </xf>
    <xf numFmtId="0" fontId="1" fillId="0" borderId="78" xfId="0" applyFont="1" applyBorder="1" applyAlignment="1">
      <alignment horizontal="right"/>
    </xf>
    <xf numFmtId="0" fontId="1" fillId="0" borderId="79" xfId="0" applyFont="1" applyBorder="1" applyAlignment="1">
      <alignment horizontal="right"/>
    </xf>
    <xf numFmtId="0" fontId="1" fillId="0" borderId="80" xfId="0" applyFont="1" applyBorder="1" applyAlignment="1">
      <alignment horizontal="right"/>
    </xf>
    <xf numFmtId="3" fontId="6" fillId="0" borderId="64" xfId="0" applyNumberFormat="1" applyFont="1" applyBorder="1" applyAlignment="1">
      <alignment horizontal="center"/>
    </xf>
    <xf numFmtId="3" fontId="6" fillId="0" borderId="65" xfId="0" applyNumberFormat="1" applyFont="1" applyBorder="1" applyAlignment="1">
      <alignment horizontal="center"/>
    </xf>
    <xf numFmtId="3" fontId="6" fillId="0" borderId="68" xfId="0" applyNumberFormat="1" applyFont="1" applyBorder="1" applyAlignment="1">
      <alignment horizontal="center"/>
    </xf>
    <xf numFmtId="3" fontId="6" fillId="0" borderId="63" xfId="0" applyNumberFormat="1" applyFont="1" applyBorder="1" applyAlignment="1">
      <alignment horizontal="center"/>
    </xf>
    <xf numFmtId="0" fontId="6" fillId="0" borderId="62" xfId="0" applyFont="1" applyBorder="1" applyAlignment="1">
      <alignment horizontal="center" wrapText="1"/>
    </xf>
    <xf numFmtId="0" fontId="6" fillId="0" borderId="61" xfId="0" applyFont="1" applyBorder="1" applyAlignment="1">
      <alignment horizontal="center" wrapText="1"/>
    </xf>
    <xf numFmtId="0" fontId="6" fillId="0" borderId="103" xfId="0" applyFont="1" applyBorder="1" applyAlignment="1">
      <alignment horizontal="center" wrapText="1"/>
    </xf>
    <xf numFmtId="0" fontId="6" fillId="0" borderId="104" xfId="0" applyFont="1" applyBorder="1" applyAlignment="1">
      <alignment horizontal="center" wrapText="1"/>
    </xf>
    <xf numFmtId="0" fontId="6" fillId="0" borderId="65" xfId="0" applyFont="1" applyBorder="1" applyAlignment="1">
      <alignment horizontal="center"/>
    </xf>
    <xf numFmtId="0" fontId="6" fillId="0" borderId="67" xfId="0" applyFont="1" applyBorder="1" applyAlignment="1">
      <alignment horizontal="center"/>
    </xf>
    <xf numFmtId="0" fontId="6" fillId="0" borderId="68" xfId="0" applyFont="1" applyBorder="1" applyAlignment="1">
      <alignment horizontal="center"/>
    </xf>
    <xf numFmtId="0" fontId="6" fillId="0" borderId="63" xfId="0" applyFont="1" applyBorder="1" applyAlignment="1">
      <alignment horizontal="center"/>
    </xf>
    <xf numFmtId="0" fontId="6" fillId="0" borderId="69" xfId="0" applyFont="1" applyBorder="1" applyAlignment="1">
      <alignment horizontal="center"/>
    </xf>
    <xf numFmtId="0" fontId="37" fillId="0" borderId="81" xfId="0" applyFont="1" applyBorder="1" applyAlignment="1">
      <alignment horizontal="center" vertical="center"/>
    </xf>
    <xf numFmtId="0" fontId="37" fillId="0" borderId="74" xfId="0" applyFont="1" applyBorder="1" applyAlignment="1">
      <alignment horizontal="center" vertical="center"/>
    </xf>
    <xf numFmtId="0" fontId="37" fillId="0" borderId="75" xfId="0" applyFont="1" applyBorder="1" applyAlignment="1">
      <alignment horizontal="center" vertical="center"/>
    </xf>
    <xf numFmtId="0" fontId="37" fillId="0" borderId="82" xfId="0" applyFont="1" applyBorder="1" applyAlignment="1">
      <alignment horizontal="center" vertical="center"/>
    </xf>
    <xf numFmtId="0" fontId="37" fillId="0" borderId="79" xfId="0" applyFont="1" applyBorder="1" applyAlignment="1">
      <alignment horizontal="center" vertical="center"/>
    </xf>
    <xf numFmtId="0" fontId="37" fillId="0" borderId="80" xfId="0" applyFont="1" applyBorder="1" applyAlignment="1">
      <alignment horizontal="center" vertical="center"/>
    </xf>
    <xf numFmtId="0" fontId="42" fillId="0" borderId="64" xfId="0" applyFont="1" applyBorder="1" applyAlignment="1">
      <alignment horizontal="justify" wrapText="1"/>
    </xf>
    <xf numFmtId="0" fontId="42" fillId="0" borderId="65" xfId="0" applyFont="1" applyBorder="1" applyAlignment="1">
      <alignment horizontal="justify"/>
    </xf>
    <xf numFmtId="0" fontId="42" fillId="0" borderId="67" xfId="0" applyFont="1" applyBorder="1" applyAlignment="1">
      <alignment horizontal="justify"/>
    </xf>
    <xf numFmtId="0" fontId="42" fillId="0" borderId="68" xfId="0" applyFont="1" applyBorder="1" applyAlignment="1">
      <alignment horizontal="justify"/>
    </xf>
    <xf numFmtId="0" fontId="42" fillId="0" borderId="63" xfId="0" applyFont="1" applyBorder="1" applyAlignment="1">
      <alignment horizontal="justify"/>
    </xf>
    <xf numFmtId="0" fontId="42" fillId="0" borderId="69" xfId="0" applyFont="1" applyBorder="1" applyAlignment="1">
      <alignment horizontal="justify"/>
    </xf>
    <xf numFmtId="0" fontId="37" fillId="0" borderId="96" xfId="0" applyFont="1" applyBorder="1" applyAlignment="1">
      <alignment horizontal="center" vertical="center"/>
    </xf>
    <xf numFmtId="0" fontId="37" fillId="0" borderId="100" xfId="0"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6" fillId="0" borderId="83" xfId="0" applyFont="1" applyBorder="1" applyAlignment="1">
      <alignment horizontal="center" vertical="center"/>
    </xf>
    <xf numFmtId="0" fontId="6" fillId="0" borderId="84" xfId="0" applyFont="1" applyBorder="1" applyAlignment="1">
      <alignment horizontal="center" vertical="center"/>
    </xf>
    <xf numFmtId="0" fontId="37" fillId="0" borderId="73" xfId="0" applyFont="1" applyBorder="1" applyAlignment="1">
      <alignment horizontal="left" vertical="top" wrapText="1"/>
    </xf>
    <xf numFmtId="0" fontId="37" fillId="0" borderId="74" xfId="0" applyFont="1" applyBorder="1" applyAlignment="1">
      <alignment horizontal="left" vertical="top"/>
    </xf>
    <xf numFmtId="0" fontId="37" fillId="0" borderId="75" xfId="0" applyFont="1" applyBorder="1" applyAlignment="1">
      <alignment horizontal="left" vertical="top"/>
    </xf>
    <xf numFmtId="0" fontId="37" fillId="0" borderId="78" xfId="0" applyFont="1" applyBorder="1" applyAlignment="1">
      <alignment horizontal="left" vertical="top"/>
    </xf>
    <xf numFmtId="0" fontId="37" fillId="0" borderId="79" xfId="0" applyFont="1" applyBorder="1" applyAlignment="1">
      <alignment horizontal="left" vertical="top"/>
    </xf>
    <xf numFmtId="0" fontId="37" fillId="0" borderId="80" xfId="0" applyFont="1" applyBorder="1" applyAlignment="1">
      <alignment horizontal="left" vertical="top"/>
    </xf>
    <xf numFmtId="0" fontId="37" fillId="0" borderId="73" xfId="0" applyFont="1" applyBorder="1" applyAlignment="1">
      <alignment horizontal="left" vertical="top"/>
    </xf>
    <xf numFmtId="0" fontId="37" fillId="0" borderId="73" xfId="0" applyFont="1" applyBorder="1" applyAlignment="1">
      <alignment horizontal="center" vertical="top" wrapText="1"/>
    </xf>
    <xf numFmtId="0" fontId="37" fillId="0" borderId="75" xfId="0" applyFont="1" applyBorder="1" applyAlignment="1">
      <alignment horizontal="center" vertical="top"/>
    </xf>
    <xf numFmtId="0" fontId="37" fillId="0" borderId="78" xfId="0" applyFont="1" applyBorder="1" applyAlignment="1">
      <alignment horizontal="center" vertical="top"/>
    </xf>
    <xf numFmtId="0" fontId="37" fillId="0" borderId="80" xfId="0" applyFont="1" applyBorder="1" applyAlignment="1">
      <alignment horizontal="center" vertical="top"/>
    </xf>
    <xf numFmtId="0" fontId="6" fillId="0" borderId="68" xfId="0" applyFont="1" applyBorder="1" applyAlignment="1">
      <alignment horizontal="left" vertical="top"/>
    </xf>
    <xf numFmtId="0" fontId="6" fillId="0" borderId="63" xfId="0" applyFont="1" applyBorder="1" applyAlignment="1">
      <alignment horizontal="left" vertical="top"/>
    </xf>
    <xf numFmtId="0" fontId="6" fillId="0" borderId="69" xfId="0" applyFont="1" applyBorder="1" applyAlignment="1">
      <alignment horizontal="left" vertical="top"/>
    </xf>
    <xf numFmtId="0" fontId="37" fillId="0" borderId="93" xfId="0" applyFont="1" applyBorder="1" applyAlignment="1">
      <alignment horizontal="center" vertical="center"/>
    </xf>
    <xf numFmtId="0" fontId="37" fillId="0" borderId="94" xfId="0" applyFont="1" applyBorder="1" applyAlignment="1">
      <alignment horizontal="center" vertical="center"/>
    </xf>
    <xf numFmtId="0" fontId="37" fillId="0" borderId="95" xfId="0" applyFont="1" applyBorder="1" applyAlignment="1">
      <alignment horizontal="center" vertical="center"/>
    </xf>
    <xf numFmtId="0" fontId="37" fillId="0" borderId="97" xfId="0" applyFont="1" applyBorder="1" applyAlignment="1">
      <alignment horizontal="center" wrapText="1"/>
    </xf>
    <xf numFmtId="0" fontId="37" fillId="0" borderId="98" xfId="0" applyFont="1" applyBorder="1" applyAlignment="1">
      <alignment horizontal="center" wrapText="1"/>
    </xf>
    <xf numFmtId="0" fontId="37" fillId="0" borderId="81" xfId="0" applyFont="1" applyBorder="1" applyAlignment="1">
      <alignment horizontal="center" vertical="center" wrapText="1"/>
    </xf>
    <xf numFmtId="0" fontId="37" fillId="0" borderId="87" xfId="0" applyFont="1" applyBorder="1" applyAlignment="1">
      <alignment horizontal="left" vertical="top"/>
    </xf>
    <xf numFmtId="0" fontId="37" fillId="0" borderId="88" xfId="0" applyFont="1" applyBorder="1" applyAlignment="1">
      <alignment horizontal="left" vertical="top"/>
    </xf>
    <xf numFmtId="0" fontId="37" fillId="0" borderId="89" xfId="0" applyFont="1" applyBorder="1" applyAlignment="1">
      <alignment horizontal="left" vertical="top"/>
    </xf>
    <xf numFmtId="0" fontId="37" fillId="0" borderId="62" xfId="0" applyFont="1" applyBorder="1" applyAlignment="1">
      <alignment horizontal="left" vertical="top" wrapText="1"/>
    </xf>
    <xf numFmtId="0" fontId="37" fillId="0" borderId="61" xfId="0" applyFont="1" applyBorder="1" applyAlignment="1">
      <alignment horizontal="left" vertical="top"/>
    </xf>
    <xf numFmtId="0" fontId="37" fillId="0" borderId="68" xfId="0" applyFont="1" applyBorder="1" applyAlignment="1">
      <alignment horizontal="left" vertical="top"/>
    </xf>
    <xf numFmtId="0" fontId="37" fillId="0" borderId="63" xfId="0" applyFont="1" applyBorder="1" applyAlignment="1">
      <alignment horizontal="left" vertical="top"/>
    </xf>
    <xf numFmtId="0" fontId="37" fillId="0" borderId="69" xfId="0" applyFont="1" applyBorder="1" applyAlignment="1">
      <alignment horizontal="left" vertical="top"/>
    </xf>
    <xf numFmtId="0" fontId="6" fillId="0" borderId="62" xfId="0" applyFont="1" applyBorder="1" applyAlignment="1">
      <alignment horizontal="left" vertical="center"/>
    </xf>
    <xf numFmtId="0" fontId="6" fillId="0" borderId="61" xfId="0" applyFont="1" applyBorder="1" applyAlignment="1">
      <alignment horizontal="left" vertical="center"/>
    </xf>
    <xf numFmtId="0" fontId="6" fillId="0" borderId="68" xfId="0" applyFont="1" applyBorder="1" applyAlignment="1">
      <alignment horizontal="left" vertical="center"/>
    </xf>
    <xf numFmtId="0" fontId="6" fillId="0" borderId="63" xfId="0" applyFont="1" applyBorder="1" applyAlignment="1">
      <alignment horizontal="left" vertical="center"/>
    </xf>
    <xf numFmtId="0" fontId="6" fillId="0" borderId="69" xfId="0" applyFont="1" applyBorder="1" applyAlignment="1">
      <alignment horizontal="left" vertical="center"/>
    </xf>
    <xf numFmtId="0" fontId="37" fillId="0" borderId="81" xfId="0" applyFont="1" applyBorder="1" applyAlignment="1">
      <alignment horizontal="left" vertical="top"/>
    </xf>
    <xf numFmtId="0" fontId="37" fillId="0" borderId="82" xfId="0" applyFont="1" applyBorder="1" applyAlignment="1">
      <alignment horizontal="left" vertical="top"/>
    </xf>
    <xf numFmtId="0" fontId="9" fillId="0" borderId="62" xfId="0" applyFont="1" applyBorder="1" applyAlignment="1">
      <alignment horizontal="left" vertical="center" wrapText="1"/>
    </xf>
    <xf numFmtId="0" fontId="9" fillId="0" borderId="61" xfId="0" applyFont="1" applyBorder="1" applyAlignment="1">
      <alignment horizontal="left" vertical="center"/>
    </xf>
    <xf numFmtId="0" fontId="9" fillId="0" borderId="62" xfId="0" applyFont="1" applyBorder="1" applyAlignment="1">
      <alignment horizontal="left" vertical="center"/>
    </xf>
    <xf numFmtId="0" fontId="9" fillId="0" borderId="68" xfId="0" applyFont="1" applyBorder="1" applyAlignment="1">
      <alignment horizontal="left" vertical="center"/>
    </xf>
    <xf numFmtId="0" fontId="9" fillId="0" borderId="63" xfId="0" applyFont="1" applyBorder="1" applyAlignment="1">
      <alignment horizontal="left" vertical="center"/>
    </xf>
    <xf numFmtId="0" fontId="9" fillId="0" borderId="69" xfId="0" applyFont="1" applyBorder="1" applyAlignment="1">
      <alignment horizontal="left" vertical="center"/>
    </xf>
    <xf numFmtId="0" fontId="41" fillId="0" borderId="73" xfId="0" applyFont="1" applyBorder="1" applyAlignment="1">
      <alignment horizontal="justify" vertical="top" wrapText="1"/>
    </xf>
    <xf numFmtId="0" fontId="41" fillId="0" borderId="74" xfId="0" applyFont="1" applyBorder="1" applyAlignment="1">
      <alignment horizontal="justify" vertical="top"/>
    </xf>
    <xf numFmtId="0" fontId="41" fillId="0" borderId="75" xfId="0" applyFont="1" applyBorder="1" applyAlignment="1">
      <alignment horizontal="justify" vertical="top"/>
    </xf>
    <xf numFmtId="0" fontId="41" fillId="0" borderId="76" xfId="0" applyFont="1" applyBorder="1" applyAlignment="1">
      <alignment horizontal="justify" vertical="top"/>
    </xf>
    <xf numFmtId="0" fontId="41" fillId="0" borderId="11" xfId="0" applyFont="1" applyBorder="1" applyAlignment="1">
      <alignment horizontal="justify" vertical="top"/>
    </xf>
    <xf numFmtId="0" fontId="41" fillId="0" borderId="77" xfId="0" applyFont="1" applyBorder="1" applyAlignment="1">
      <alignment horizontal="justify" vertical="top"/>
    </xf>
    <xf numFmtId="0" fontId="41" fillId="0" borderId="78" xfId="0" applyFont="1" applyBorder="1" applyAlignment="1">
      <alignment horizontal="justify" vertical="top"/>
    </xf>
    <xf numFmtId="0" fontId="41" fillId="0" borderId="79" xfId="0" applyFont="1" applyBorder="1" applyAlignment="1">
      <alignment horizontal="justify" vertical="top"/>
    </xf>
    <xf numFmtId="0" fontId="41" fillId="0" borderId="80" xfId="0" applyFont="1" applyBorder="1" applyAlignment="1">
      <alignment horizontal="justify" vertical="top"/>
    </xf>
    <xf numFmtId="0" fontId="25" fillId="0" borderId="62" xfId="0" applyFont="1" applyBorder="1" applyAlignment="1">
      <alignment horizontal="left" vertical="top" wrapText="1"/>
    </xf>
    <xf numFmtId="0" fontId="25" fillId="0" borderId="62" xfId="0" applyFont="1" applyBorder="1" applyAlignment="1">
      <alignment horizontal="left" vertical="top"/>
    </xf>
    <xf numFmtId="0" fontId="5" fillId="0" borderId="65" xfId="0" applyFont="1" applyBorder="1" applyAlignment="1">
      <alignment horizontal="center" vertical="center"/>
    </xf>
    <xf numFmtId="0" fontId="5" fillId="0" borderId="67" xfId="0" applyFont="1" applyBorder="1" applyAlignment="1">
      <alignment horizontal="center" vertical="center"/>
    </xf>
    <xf numFmtId="0" fontId="5" fillId="0" borderId="61" xfId="0" applyFont="1" applyBorder="1" applyAlignment="1">
      <alignment horizontal="center" vertical="center"/>
    </xf>
    <xf numFmtId="0" fontId="5" fillId="0" borderId="63" xfId="0" applyFont="1" applyBorder="1" applyAlignment="1">
      <alignment horizontal="center" vertical="center"/>
    </xf>
    <xf numFmtId="0" fontId="5" fillId="0" borderId="69" xfId="0" applyFont="1" applyBorder="1" applyAlignment="1">
      <alignment horizontal="center" vertical="center"/>
    </xf>
    <xf numFmtId="0" fontId="37" fillId="0" borderId="64" xfId="0" applyFont="1" applyBorder="1" applyAlignment="1">
      <alignment horizontal="left" vertical="top"/>
    </xf>
    <xf numFmtId="0" fontId="33" fillId="0" borderId="25" xfId="0" applyFont="1" applyBorder="1" applyAlignment="1">
      <alignment horizontal="left" vertical="top"/>
    </xf>
    <xf numFmtId="0" fontId="33" fillId="0" borderId="26" xfId="0" applyFont="1" applyBorder="1" applyAlignment="1">
      <alignment horizontal="left" vertical="top"/>
    </xf>
    <xf numFmtId="0" fontId="33" fillId="0" borderId="28" xfId="0" applyFont="1" applyBorder="1" applyAlignment="1">
      <alignment horizontal="left" vertical="top"/>
    </xf>
    <xf numFmtId="0" fontId="2" fillId="0" borderId="3" xfId="0" applyFont="1" applyBorder="1" applyAlignment="1">
      <alignment horizontal="center"/>
    </xf>
    <xf numFmtId="0" fontId="2" fillId="0" borderId="4" xfId="0" applyFont="1" applyBorder="1" applyAlignment="1">
      <alignment horizontal="center"/>
    </xf>
    <xf numFmtId="0" fontId="1" fillId="0" borderId="3" xfId="0" applyFont="1" applyBorder="1" applyAlignment="1">
      <alignment horizontal="left"/>
    </xf>
    <xf numFmtId="0" fontId="31" fillId="0" borderId="32" xfId="0" applyFont="1" applyBorder="1" applyAlignment="1">
      <alignment horizontal="left" vertical="center"/>
    </xf>
    <xf numFmtId="0" fontId="31" fillId="0" borderId="33" xfId="0" applyFont="1" applyBorder="1" applyAlignment="1">
      <alignment horizontal="left" vertical="center"/>
    </xf>
    <xf numFmtId="0" fontId="31" fillId="0" borderId="34" xfId="0" applyFont="1" applyBorder="1" applyAlignment="1">
      <alignment horizontal="left" vertical="center"/>
    </xf>
    <xf numFmtId="0" fontId="9" fillId="0" borderId="29" xfId="0" applyFont="1" applyBorder="1" applyAlignment="1">
      <alignment horizontal="left" vertical="center" wrapText="1"/>
    </xf>
    <xf numFmtId="0" fontId="9" fillId="0" borderId="27" xfId="0" applyFont="1" applyBorder="1" applyAlignment="1">
      <alignment horizontal="left" vertical="center"/>
    </xf>
    <xf numFmtId="0" fontId="9" fillId="0" borderId="29" xfId="0" applyFont="1" applyBorder="1" applyAlignment="1">
      <alignment horizontal="left" vertical="center"/>
    </xf>
    <xf numFmtId="0" fontId="9" fillId="0" borderId="30" xfId="0" applyFont="1" applyBorder="1" applyAlignment="1">
      <alignment horizontal="left" vertical="center"/>
    </xf>
    <xf numFmtId="0" fontId="9" fillId="0" borderId="24" xfId="0" applyFont="1" applyBorder="1" applyAlignment="1">
      <alignment horizontal="left" vertical="center"/>
    </xf>
    <xf numFmtId="0" fontId="9" fillId="0" borderId="31" xfId="0" applyFont="1" applyBorder="1" applyAlignment="1">
      <alignment horizontal="left" vertical="center"/>
    </xf>
    <xf numFmtId="0" fontId="27" fillId="0" borderId="25" xfId="0" applyFont="1" applyBorder="1" applyAlignment="1">
      <alignment horizontal="center" vertical="center"/>
    </xf>
    <xf numFmtId="0" fontId="27" fillId="0" borderId="26" xfId="0" applyFont="1" applyBorder="1" applyAlignment="1">
      <alignment horizontal="center" vertical="center"/>
    </xf>
    <xf numFmtId="0" fontId="27" fillId="0" borderId="28" xfId="0" applyFont="1" applyBorder="1" applyAlignment="1">
      <alignment horizontal="center" vertical="center"/>
    </xf>
    <xf numFmtId="0" fontId="27" fillId="0" borderId="32" xfId="0" applyFont="1" applyBorder="1" applyAlignment="1">
      <alignment horizontal="center" vertical="center"/>
    </xf>
    <xf numFmtId="0" fontId="27" fillId="0" borderId="33" xfId="0" applyFont="1" applyBorder="1" applyAlignment="1">
      <alignment horizontal="center" vertical="center"/>
    </xf>
    <xf numFmtId="0" fontId="27" fillId="0" borderId="34" xfId="0" applyFont="1" applyBorder="1" applyAlignment="1">
      <alignment horizontal="center" vertical="center"/>
    </xf>
    <xf numFmtId="0" fontId="27" fillId="0" borderId="47" xfId="0" applyFont="1" applyBorder="1" applyAlignment="1">
      <alignment horizontal="center" vertical="center"/>
    </xf>
    <xf numFmtId="0" fontId="27" fillId="0" borderId="25" xfId="0" applyFont="1" applyBorder="1" applyAlignment="1">
      <alignment horizontal="center" vertical="center" wrapText="1"/>
    </xf>
    <xf numFmtId="0" fontId="27" fillId="0" borderId="26" xfId="0" applyFont="1" applyBorder="1" applyAlignment="1">
      <alignment horizontal="center" vertical="center" wrapText="1"/>
    </xf>
    <xf numFmtId="0" fontId="27" fillId="0" borderId="28" xfId="0" applyFont="1" applyBorder="1" applyAlignment="1">
      <alignment horizontal="center" vertical="center" wrapText="1"/>
    </xf>
    <xf numFmtId="0" fontId="32" fillId="0" borderId="35" xfId="0" applyFont="1" applyBorder="1" applyAlignment="1">
      <alignment horizontal="justify" vertical="top" wrapText="1"/>
    </xf>
    <xf numFmtId="0" fontId="32" fillId="0" borderId="36" xfId="0" applyFont="1" applyBorder="1" applyAlignment="1">
      <alignment horizontal="justify" vertical="top"/>
    </xf>
    <xf numFmtId="0" fontId="32" fillId="0" borderId="37" xfId="0" applyFont="1" applyBorder="1" applyAlignment="1">
      <alignment horizontal="justify" vertical="top"/>
    </xf>
    <xf numFmtId="0" fontId="32" fillId="0" borderId="10" xfId="0" applyFont="1" applyBorder="1" applyAlignment="1">
      <alignment horizontal="justify" vertical="top"/>
    </xf>
    <xf numFmtId="0" fontId="32" fillId="0" borderId="11" xfId="0" applyFont="1" applyBorder="1" applyAlignment="1">
      <alignment horizontal="justify" vertical="top"/>
    </xf>
    <xf numFmtId="0" fontId="32" fillId="0" borderId="38" xfId="0" applyFont="1" applyBorder="1" applyAlignment="1">
      <alignment horizontal="justify" vertical="top"/>
    </xf>
    <xf numFmtId="0" fontId="32" fillId="0" borderId="39" xfId="0" applyFont="1" applyBorder="1" applyAlignment="1">
      <alignment horizontal="justify" vertical="top"/>
    </xf>
    <xf numFmtId="0" fontId="32" fillId="0" borderId="40" xfId="0" applyFont="1" applyBorder="1" applyAlignment="1">
      <alignment horizontal="justify" vertical="top"/>
    </xf>
    <xf numFmtId="0" fontId="32" fillId="0" borderId="41" xfId="0" applyFont="1" applyBorder="1" applyAlignment="1">
      <alignment horizontal="justify" vertical="top"/>
    </xf>
    <xf numFmtId="0" fontId="32" fillId="0" borderId="42" xfId="0" applyFont="1" applyBorder="1" applyAlignment="1">
      <alignment horizontal="justify" vertical="top"/>
    </xf>
    <xf numFmtId="0" fontId="6" fillId="0" borderId="29" xfId="0" applyFont="1" applyBorder="1" applyAlignment="1">
      <alignment horizontal="left" vertical="top" wrapText="1"/>
    </xf>
    <xf numFmtId="0" fontId="6" fillId="0" borderId="27" xfId="0" applyFont="1" applyBorder="1" applyAlignment="1">
      <alignment horizontal="left" vertical="top"/>
    </xf>
    <xf numFmtId="0" fontId="6" fillId="0" borderId="29" xfId="0" applyFont="1" applyBorder="1" applyAlignment="1">
      <alignment horizontal="left" vertical="top"/>
    </xf>
    <xf numFmtId="0" fontId="6" fillId="0" borderId="30" xfId="0" applyFont="1" applyBorder="1" applyAlignment="1">
      <alignment horizontal="left" vertical="top"/>
    </xf>
    <xf numFmtId="0" fontId="6" fillId="0" borderId="24" xfId="0" applyFont="1" applyBorder="1" applyAlignment="1">
      <alignment horizontal="left" vertical="top"/>
    </xf>
    <xf numFmtId="0" fontId="6" fillId="0" borderId="31" xfId="0" applyFont="1" applyBorder="1" applyAlignment="1">
      <alignment horizontal="left" vertical="top"/>
    </xf>
    <xf numFmtId="0" fontId="5" fillId="0" borderId="26" xfId="0" applyFont="1" applyBorder="1" applyAlignment="1">
      <alignment horizontal="center" vertical="center"/>
    </xf>
    <xf numFmtId="0" fontId="5" fillId="0" borderId="28" xfId="0" applyFont="1" applyBorder="1" applyAlignment="1">
      <alignment horizontal="center" vertical="center"/>
    </xf>
    <xf numFmtId="0" fontId="5" fillId="0" borderId="27" xfId="0" applyFont="1" applyBorder="1" applyAlignment="1">
      <alignment horizontal="center" vertical="center"/>
    </xf>
    <xf numFmtId="0" fontId="5" fillId="0" borderId="24" xfId="0" applyFont="1" applyBorder="1" applyAlignment="1">
      <alignment horizontal="center" vertical="center"/>
    </xf>
    <xf numFmtId="0" fontId="5" fillId="0" borderId="31" xfId="0" applyFont="1" applyBorder="1" applyAlignment="1">
      <alignment horizontal="center" vertical="center"/>
    </xf>
    <xf numFmtId="0" fontId="27" fillId="0" borderId="25" xfId="0" applyFont="1" applyBorder="1" applyAlignment="1">
      <alignment horizontal="left" vertical="top"/>
    </xf>
    <xf numFmtId="0" fontId="27" fillId="0" borderId="26" xfId="0" applyFont="1" applyBorder="1" applyAlignment="1">
      <alignment horizontal="left" vertical="top"/>
    </xf>
    <xf numFmtId="0" fontId="27" fillId="0" borderId="28" xfId="0" applyFont="1" applyBorder="1" applyAlignment="1">
      <alignment horizontal="left" vertical="top"/>
    </xf>
    <xf numFmtId="0" fontId="27" fillId="0" borderId="29" xfId="0" applyFont="1" applyBorder="1" applyAlignment="1">
      <alignment horizontal="left" vertical="top"/>
    </xf>
    <xf numFmtId="0" fontId="27" fillId="0" borderId="0" xfId="0" applyFont="1" applyAlignment="1">
      <alignment horizontal="left" vertical="top"/>
    </xf>
    <xf numFmtId="0" fontId="27" fillId="0" borderId="27" xfId="0" applyFont="1" applyBorder="1" applyAlignment="1">
      <alignment horizontal="left" vertical="top"/>
    </xf>
    <xf numFmtId="0" fontId="27" fillId="0" borderId="30" xfId="0" applyFont="1" applyBorder="1" applyAlignment="1">
      <alignment horizontal="left" vertical="top"/>
    </xf>
    <xf numFmtId="0" fontId="27" fillId="0" borderId="24" xfId="0" applyFont="1" applyBorder="1" applyAlignment="1">
      <alignment horizontal="left" vertical="top"/>
    </xf>
    <xf numFmtId="0" fontId="27" fillId="0" borderId="31" xfId="0" applyFont="1" applyBorder="1" applyAlignment="1">
      <alignment horizontal="left" vertical="top"/>
    </xf>
    <xf numFmtId="0" fontId="6" fillId="0" borderId="29" xfId="0" applyFont="1" applyBorder="1" applyAlignment="1">
      <alignment horizontal="center" vertical="top"/>
    </xf>
    <xf numFmtId="0" fontId="6" fillId="0" borderId="24" xfId="0" applyFont="1" applyBorder="1" applyAlignment="1">
      <alignment horizontal="center" vertical="top"/>
    </xf>
    <xf numFmtId="0" fontId="6" fillId="0" borderId="31" xfId="0" applyFont="1" applyBorder="1" applyAlignment="1">
      <alignment horizontal="center" vertical="top"/>
    </xf>
    <xf numFmtId="0" fontId="6" fillId="0" borderId="30" xfId="0" applyFont="1" applyBorder="1" applyAlignment="1">
      <alignment horizontal="center" vertical="center"/>
    </xf>
    <xf numFmtId="0" fontId="6" fillId="0" borderId="24" xfId="0" applyFont="1" applyBorder="1" applyAlignment="1">
      <alignment horizontal="center" vertical="center"/>
    </xf>
    <xf numFmtId="0" fontId="6" fillId="0" borderId="31" xfId="0" applyFont="1" applyBorder="1" applyAlignment="1">
      <alignment horizontal="center" vertical="center"/>
    </xf>
    <xf numFmtId="0" fontId="34" fillId="0" borderId="32" xfId="0" applyFont="1" applyBorder="1" applyAlignment="1">
      <alignment horizontal="center" vertical="top" wrapText="1"/>
    </xf>
    <xf numFmtId="0" fontId="34" fillId="0" borderId="34" xfId="0" applyFont="1" applyBorder="1" applyAlignment="1">
      <alignment horizontal="center" vertical="top"/>
    </xf>
    <xf numFmtId="0" fontId="9" fillId="0" borderId="25" xfId="0" applyFont="1" applyBorder="1" applyAlignment="1">
      <alignment horizontal="left" vertical="top" wrapText="1"/>
    </xf>
    <xf numFmtId="0" fontId="6" fillId="0" borderId="26" xfId="0" applyFont="1" applyBorder="1" applyAlignment="1">
      <alignment horizontal="left" vertical="top"/>
    </xf>
    <xf numFmtId="0" fontId="6" fillId="0" borderId="28" xfId="0" applyFont="1" applyBorder="1" applyAlignment="1">
      <alignment horizontal="left" vertical="top"/>
    </xf>
    <xf numFmtId="0" fontId="9" fillId="0" borderId="29" xfId="0" applyFont="1" applyBorder="1" applyAlignment="1">
      <alignment horizontal="left" vertical="top" wrapText="1"/>
    </xf>
    <xf numFmtId="0" fontId="27" fillId="0" borderId="46" xfId="0" applyFont="1" applyBorder="1" applyAlignment="1">
      <alignment horizontal="center" vertical="center" wrapText="1"/>
    </xf>
    <xf numFmtId="0" fontId="27" fillId="0" borderId="36"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40" xfId="0" applyFont="1" applyBorder="1" applyAlignment="1">
      <alignment horizontal="center" vertical="center" wrapText="1"/>
    </xf>
    <xf numFmtId="0" fontId="27" fillId="0" borderId="41" xfId="0" applyFont="1" applyBorder="1" applyAlignment="1">
      <alignment horizontal="center" vertical="center" wrapText="1"/>
    </xf>
    <xf numFmtId="0" fontId="27" fillId="0" borderId="42" xfId="0" applyFont="1" applyBorder="1" applyAlignment="1">
      <alignment horizontal="center" vertical="center" wrapText="1"/>
    </xf>
    <xf numFmtId="0" fontId="6" fillId="0" borderId="53" xfId="0" applyFont="1" applyBorder="1" applyAlignment="1">
      <alignment horizontal="center" vertical="top"/>
    </xf>
    <xf numFmtId="0" fontId="6" fillId="0" borderId="54" xfId="0" applyFont="1" applyBorder="1" applyAlignment="1">
      <alignment horizontal="center" vertical="top"/>
    </xf>
    <xf numFmtId="0" fontId="6" fillId="0" borderId="55" xfId="0" applyFont="1" applyBorder="1" applyAlignment="1">
      <alignment horizontal="center" vertical="top"/>
    </xf>
    <xf numFmtId="15" fontId="15" fillId="0" borderId="30" xfId="0" applyNumberFormat="1" applyFont="1" applyBorder="1" applyAlignment="1">
      <alignment horizontal="center" vertical="top"/>
    </xf>
    <xf numFmtId="15" fontId="15" fillId="0" borderId="24" xfId="0" applyNumberFormat="1" applyFont="1" applyBorder="1" applyAlignment="1">
      <alignment horizontal="center" vertical="top"/>
    </xf>
    <xf numFmtId="15" fontId="15" fillId="0" borderId="31" xfId="0" applyNumberFormat="1" applyFont="1" applyBorder="1" applyAlignment="1">
      <alignment horizontal="center" vertical="top"/>
    </xf>
    <xf numFmtId="0" fontId="6" fillId="0" borderId="29" xfId="0" applyFont="1" applyBorder="1" applyAlignment="1">
      <alignment horizontal="center" vertical="center"/>
    </xf>
    <xf numFmtId="0" fontId="6" fillId="0" borderId="27" xfId="0" applyFont="1" applyBorder="1" applyAlignment="1">
      <alignment horizontal="center" vertical="center"/>
    </xf>
    <xf numFmtId="0" fontId="33" fillId="0" borderId="25" xfId="0" applyFont="1" applyBorder="1" applyAlignment="1">
      <alignment horizontal="justify" wrapText="1"/>
    </xf>
    <xf numFmtId="0" fontId="33" fillId="0" borderId="26" xfId="0" applyFont="1" applyBorder="1" applyAlignment="1">
      <alignment horizontal="justify"/>
    </xf>
    <xf numFmtId="0" fontId="33" fillId="0" borderId="28" xfId="0" applyFont="1" applyBorder="1" applyAlignment="1">
      <alignment horizontal="justify"/>
    </xf>
    <xf numFmtId="0" fontId="33" fillId="0" borderId="29" xfId="0" applyFont="1" applyBorder="1" applyAlignment="1">
      <alignment horizontal="justify"/>
    </xf>
    <xf numFmtId="0" fontId="33" fillId="0" borderId="0" xfId="0" applyFont="1" applyAlignment="1">
      <alignment horizontal="justify"/>
    </xf>
    <xf numFmtId="0" fontId="33" fillId="0" borderId="27" xfId="0" applyFont="1" applyBorder="1" applyAlignment="1">
      <alignment horizontal="justify"/>
    </xf>
    <xf numFmtId="0" fontId="27" fillId="0" borderId="50" xfId="0" applyFont="1" applyBorder="1" applyAlignment="1">
      <alignment horizontal="left" vertical="top"/>
    </xf>
    <xf numFmtId="0" fontId="27" fillId="0" borderId="51" xfId="0" applyFont="1" applyBorder="1" applyAlignment="1">
      <alignment horizontal="left" vertical="top"/>
    </xf>
    <xf numFmtId="0" fontId="27" fillId="0" borderId="52" xfId="0" applyFont="1" applyBorder="1" applyAlignment="1">
      <alignment horizontal="left" vertical="top"/>
    </xf>
    <xf numFmtId="0" fontId="18" fillId="0" borderId="25" xfId="0" applyFont="1" applyBorder="1" applyAlignment="1">
      <alignment horizontal="center"/>
    </xf>
    <xf numFmtId="0" fontId="18" fillId="0" borderId="26" xfId="0" applyFont="1" applyBorder="1" applyAlignment="1">
      <alignment horizontal="center"/>
    </xf>
    <xf numFmtId="0" fontId="18" fillId="0" borderId="28" xfId="0" applyFont="1" applyBorder="1" applyAlignment="1">
      <alignment horizontal="center"/>
    </xf>
    <xf numFmtId="0" fontId="16" fillId="0" borderId="25" xfId="0" applyFont="1" applyBorder="1" applyAlignment="1">
      <alignment horizontal="center"/>
    </xf>
    <xf numFmtId="0" fontId="16" fillId="0" borderId="26" xfId="0" applyFont="1" applyBorder="1" applyAlignment="1">
      <alignment horizontal="center"/>
    </xf>
    <xf numFmtId="1" fontId="6" fillId="0" borderId="25" xfId="1" applyNumberFormat="1" applyFont="1" applyBorder="1" applyAlignment="1">
      <alignment horizontal="center" vertical="top"/>
    </xf>
    <xf numFmtId="1" fontId="6" fillId="0" borderId="26" xfId="1" applyNumberFormat="1" applyFont="1" applyBorder="1" applyAlignment="1">
      <alignment horizontal="center" vertical="top"/>
    </xf>
    <xf numFmtId="1" fontId="6" fillId="0" borderId="28" xfId="1" applyNumberFormat="1" applyFont="1" applyBorder="1" applyAlignment="1">
      <alignment horizontal="center" vertical="top"/>
    </xf>
    <xf numFmtId="1" fontId="6" fillId="0" borderId="29" xfId="1" applyNumberFormat="1" applyFont="1" applyBorder="1" applyAlignment="1">
      <alignment horizontal="center" vertical="top"/>
    </xf>
    <xf numFmtId="1" fontId="6" fillId="0" borderId="27" xfId="1" applyNumberFormat="1" applyFont="1" applyBorder="1" applyAlignment="1">
      <alignment horizontal="center" vertical="top"/>
    </xf>
    <xf numFmtId="1" fontId="6" fillId="0" borderId="30" xfId="1" applyNumberFormat="1" applyFont="1" applyBorder="1" applyAlignment="1">
      <alignment horizontal="center" vertical="top"/>
    </xf>
    <xf numFmtId="1" fontId="6" fillId="0" borderId="24" xfId="1" applyNumberFormat="1" applyFont="1" applyBorder="1" applyAlignment="1">
      <alignment horizontal="center" vertical="top"/>
    </xf>
    <xf numFmtId="1" fontId="6" fillId="0" borderId="31" xfId="1" applyNumberFormat="1" applyFont="1" applyBorder="1" applyAlignment="1">
      <alignment horizontal="center" vertical="top"/>
    </xf>
    <xf numFmtId="164" fontId="6" fillId="0" borderId="25" xfId="1" applyNumberFormat="1" applyFont="1" applyBorder="1" applyAlignment="1">
      <alignment horizontal="center" vertical="top"/>
    </xf>
    <xf numFmtId="164" fontId="6" fillId="0" borderId="26" xfId="1" applyNumberFormat="1" applyFont="1" applyBorder="1" applyAlignment="1">
      <alignment horizontal="center" vertical="top"/>
    </xf>
    <xf numFmtId="164" fontId="6" fillId="0" borderId="28" xfId="1" applyNumberFormat="1" applyFont="1" applyBorder="1" applyAlignment="1">
      <alignment horizontal="center" vertical="top"/>
    </xf>
    <xf numFmtId="164" fontId="6" fillId="0" borderId="29" xfId="1" applyNumberFormat="1" applyFont="1" applyBorder="1" applyAlignment="1">
      <alignment horizontal="center" vertical="top"/>
    </xf>
    <xf numFmtId="164" fontId="6" fillId="0" borderId="27" xfId="1" applyNumberFormat="1" applyFont="1" applyBorder="1" applyAlignment="1">
      <alignment horizontal="center" vertical="top"/>
    </xf>
    <xf numFmtId="164" fontId="6" fillId="0" borderId="30" xfId="1" applyNumberFormat="1" applyFont="1" applyBorder="1" applyAlignment="1">
      <alignment horizontal="center" vertical="top"/>
    </xf>
    <xf numFmtId="164" fontId="6" fillId="0" borderId="24" xfId="1" applyNumberFormat="1" applyFont="1" applyBorder="1" applyAlignment="1">
      <alignment horizontal="center" vertical="top"/>
    </xf>
    <xf numFmtId="164" fontId="6" fillId="0" borderId="31" xfId="1" applyNumberFormat="1" applyFont="1" applyBorder="1" applyAlignment="1">
      <alignment horizontal="center" vertical="top"/>
    </xf>
    <xf numFmtId="0" fontId="17" fillId="0" borderId="25" xfId="0" applyFont="1" applyBorder="1" applyAlignment="1">
      <alignment horizontal="center" vertical="top"/>
    </xf>
    <xf numFmtId="0" fontId="17" fillId="0" borderId="26" xfId="0" applyFont="1" applyBorder="1" applyAlignment="1">
      <alignment horizontal="center" vertical="top"/>
    </xf>
    <xf numFmtId="0" fontId="17" fillId="0" borderId="29" xfId="0" applyFont="1" applyBorder="1" applyAlignment="1">
      <alignment horizontal="center" vertical="top"/>
    </xf>
    <xf numFmtId="3" fontId="6" fillId="0" borderId="25" xfId="1" applyNumberFormat="1" applyFont="1" applyBorder="1" applyAlignment="1">
      <alignment horizontal="center" vertical="top"/>
    </xf>
    <xf numFmtId="3" fontId="6" fillId="0" borderId="26" xfId="1" applyNumberFormat="1" applyFont="1" applyBorder="1" applyAlignment="1">
      <alignment horizontal="center" vertical="top"/>
    </xf>
    <xf numFmtId="3" fontId="6" fillId="0" borderId="29" xfId="1" applyNumberFormat="1" applyFont="1" applyBorder="1" applyAlignment="1">
      <alignment horizontal="center" vertical="top"/>
    </xf>
    <xf numFmtId="3" fontId="6" fillId="0" borderId="30" xfId="1" applyNumberFormat="1" applyFont="1" applyBorder="1" applyAlignment="1">
      <alignment horizontal="center" vertical="top"/>
    </xf>
    <xf numFmtId="3" fontId="6" fillId="0" borderId="24" xfId="1" applyNumberFormat="1" applyFont="1" applyBorder="1" applyAlignment="1">
      <alignment horizontal="center" vertical="top"/>
    </xf>
    <xf numFmtId="0" fontId="19" fillId="0" borderId="26" xfId="0" applyFont="1" applyBorder="1" applyAlignment="1">
      <alignment horizontal="center"/>
    </xf>
    <xf numFmtId="0" fontId="27" fillId="0" borderId="30" xfId="0" applyFont="1" applyBorder="1" applyAlignment="1">
      <alignment horizontal="center" vertical="center"/>
    </xf>
    <xf numFmtId="0" fontId="27" fillId="0" borderId="24" xfId="0" applyFont="1" applyBorder="1" applyAlignment="1">
      <alignment horizontal="center" vertical="center"/>
    </xf>
    <xf numFmtId="0" fontId="27" fillId="0" borderId="31" xfId="0" applyFont="1" applyBorder="1" applyAlignment="1">
      <alignment horizontal="center" vertical="center"/>
    </xf>
    <xf numFmtId="15" fontId="6" fillId="0" borderId="59" xfId="0" applyNumberFormat="1" applyFont="1" applyBorder="1" applyAlignment="1">
      <alignment horizontal="center"/>
    </xf>
    <xf numFmtId="0" fontId="6" fillId="0" borderId="59" xfId="0" applyFont="1" applyBorder="1" applyAlignment="1">
      <alignment horizontal="center"/>
    </xf>
    <xf numFmtId="165" fontId="6" fillId="0" borderId="25" xfId="0" applyNumberFormat="1" applyFont="1" applyBorder="1" applyAlignment="1">
      <alignment horizontal="center"/>
    </xf>
    <xf numFmtId="165" fontId="6" fillId="0" borderId="26" xfId="0" applyNumberFormat="1" applyFont="1" applyBorder="1" applyAlignment="1">
      <alignment horizontal="center"/>
    </xf>
    <xf numFmtId="165" fontId="6" fillId="0" borderId="28" xfId="0" applyNumberFormat="1" applyFont="1" applyBorder="1" applyAlignment="1">
      <alignment horizontal="center"/>
    </xf>
    <xf numFmtId="165" fontId="6" fillId="0" borderId="30" xfId="0" applyNumberFormat="1" applyFont="1" applyBorder="1" applyAlignment="1">
      <alignment horizontal="center"/>
    </xf>
    <xf numFmtId="165" fontId="6" fillId="0" borderId="24" xfId="0" applyNumberFormat="1" applyFont="1" applyBorder="1" applyAlignment="1">
      <alignment horizontal="center"/>
    </xf>
    <xf numFmtId="165" fontId="6" fillId="0" borderId="31" xfId="0" applyNumberFormat="1" applyFont="1" applyBorder="1" applyAlignment="1">
      <alignment horizontal="center"/>
    </xf>
    <xf numFmtId="0" fontId="6" fillId="0" borderId="26" xfId="0" applyFont="1" applyBorder="1" applyAlignment="1">
      <alignment horizontal="center" vertical="top"/>
    </xf>
    <xf numFmtId="0" fontId="19" fillId="0" borderId="46" xfId="0" applyFont="1" applyBorder="1" applyAlignment="1">
      <alignment horizontal="center"/>
    </xf>
    <xf numFmtId="0" fontId="19" fillId="0" borderId="36" xfId="0" applyFont="1" applyBorder="1" applyAlignment="1">
      <alignment horizontal="center"/>
    </xf>
    <xf numFmtId="0" fontId="19" fillId="0" borderId="37" xfId="0" applyFont="1" applyBorder="1" applyAlignment="1">
      <alignment horizontal="center"/>
    </xf>
    <xf numFmtId="0" fontId="19" fillId="0" borderId="40" xfId="0" applyFont="1" applyBorder="1" applyAlignment="1">
      <alignment horizontal="center"/>
    </xf>
    <xf numFmtId="0" fontId="19" fillId="0" borderId="41" xfId="0" applyFont="1" applyBorder="1" applyAlignment="1">
      <alignment horizontal="center"/>
    </xf>
    <xf numFmtId="0" fontId="19" fillId="0" borderId="42" xfId="0" applyFont="1" applyBorder="1" applyAlignment="1">
      <alignment horizontal="center"/>
    </xf>
    <xf numFmtId="0" fontId="33" fillId="0" borderId="25" xfId="0" applyFont="1" applyBorder="1" applyAlignment="1">
      <alignment horizontal="left" vertical="top" wrapText="1"/>
    </xf>
    <xf numFmtId="0" fontId="33" fillId="0" borderId="26" xfId="0" applyFont="1" applyBorder="1" applyAlignment="1">
      <alignment horizontal="left" vertical="top" wrapText="1"/>
    </xf>
    <xf numFmtId="0" fontId="33" fillId="0" borderId="28" xfId="0" applyFont="1" applyBorder="1" applyAlignment="1">
      <alignment horizontal="left" vertical="top" wrapText="1"/>
    </xf>
    <xf numFmtId="0" fontId="33" fillId="0" borderId="29" xfId="0" applyFont="1" applyBorder="1" applyAlignment="1">
      <alignment horizontal="left" vertical="top" wrapText="1"/>
    </xf>
    <xf numFmtId="0" fontId="33" fillId="0" borderId="0" xfId="0" applyFont="1" applyAlignment="1">
      <alignment horizontal="left" vertical="top" wrapText="1"/>
    </xf>
    <xf numFmtId="0" fontId="33" fillId="0" borderId="27" xfId="0" applyFont="1" applyBorder="1" applyAlignment="1">
      <alignment horizontal="left" vertical="top" wrapText="1"/>
    </xf>
    <xf numFmtId="0" fontId="6" fillId="0" borderId="29" xfId="0" applyFont="1" applyBorder="1" applyAlignment="1">
      <alignment horizontal="center" wrapText="1"/>
    </xf>
    <xf numFmtId="0" fontId="6" fillId="0" borderId="27" xfId="0" applyFont="1" applyBorder="1" applyAlignment="1">
      <alignment horizontal="center" wrapText="1"/>
    </xf>
    <xf numFmtId="0" fontId="6" fillId="0" borderId="58" xfId="0" applyFont="1" applyBorder="1" applyAlignment="1">
      <alignment horizontal="center" wrapText="1"/>
    </xf>
    <xf numFmtId="0" fontId="6" fillId="0" borderId="59" xfId="0" applyFont="1" applyBorder="1" applyAlignment="1">
      <alignment horizontal="center" wrapText="1"/>
    </xf>
    <xf numFmtId="0" fontId="6" fillId="0" borderId="60" xfId="0" applyFont="1" applyBorder="1" applyAlignment="1">
      <alignment horizontal="center" wrapText="1"/>
    </xf>
    <xf numFmtId="0" fontId="6" fillId="0" borderId="26" xfId="0" applyFont="1" applyBorder="1" applyAlignment="1">
      <alignment horizontal="center"/>
    </xf>
    <xf numFmtId="0" fontId="6" fillId="0" borderId="28" xfId="0" applyFont="1" applyBorder="1" applyAlignment="1">
      <alignment horizontal="center"/>
    </xf>
    <xf numFmtId="0" fontId="6" fillId="0" borderId="30" xfId="0" applyFont="1" applyBorder="1" applyAlignment="1">
      <alignment horizontal="center"/>
    </xf>
    <xf numFmtId="0" fontId="6" fillId="0" borderId="24" xfId="0" applyFont="1" applyBorder="1" applyAlignment="1">
      <alignment horizontal="center"/>
    </xf>
    <xf numFmtId="0" fontId="6" fillId="0" borderId="31" xfId="0" applyFont="1" applyBorder="1" applyAlignment="1">
      <alignment horizontal="center"/>
    </xf>
    <xf numFmtId="0" fontId="27" fillId="0" borderId="46" xfId="0" applyFont="1" applyBorder="1" applyAlignment="1">
      <alignment horizontal="left" vertical="top"/>
    </xf>
    <xf numFmtId="0" fontId="27" fillId="0" borderId="36" xfId="0" applyFont="1" applyBorder="1" applyAlignment="1">
      <alignment horizontal="left" vertical="top"/>
    </xf>
    <xf numFmtId="0" fontId="27" fillId="0" borderId="37" xfId="0" applyFont="1" applyBorder="1" applyAlignment="1">
      <alignment horizontal="left" vertical="top"/>
    </xf>
    <xf numFmtId="0" fontId="27" fillId="0" borderId="40" xfId="0" applyFont="1" applyBorder="1" applyAlignment="1">
      <alignment horizontal="left" vertical="top"/>
    </xf>
    <xf numFmtId="0" fontId="27" fillId="0" borderId="41" xfId="0" applyFont="1" applyBorder="1" applyAlignment="1">
      <alignment horizontal="left" vertical="top"/>
    </xf>
    <xf numFmtId="0" fontId="27" fillId="0" borderId="42" xfId="0" applyFont="1" applyBorder="1" applyAlignment="1">
      <alignment horizontal="left" vertical="top"/>
    </xf>
    <xf numFmtId="0" fontId="27" fillId="0" borderId="46" xfId="0" applyFont="1" applyBorder="1" applyAlignment="1">
      <alignment horizontal="center" vertical="top" wrapText="1"/>
    </xf>
    <xf numFmtId="0" fontId="27" fillId="0" borderId="37" xfId="0" applyFont="1" applyBorder="1" applyAlignment="1">
      <alignment horizontal="center" vertical="top"/>
    </xf>
    <xf numFmtId="0" fontId="27" fillId="0" borderId="40" xfId="0" applyFont="1" applyBorder="1" applyAlignment="1">
      <alignment horizontal="center" vertical="top"/>
    </xf>
    <xf numFmtId="0" fontId="27" fillId="0" borderId="42" xfId="0" applyFont="1" applyBorder="1" applyAlignment="1">
      <alignment horizontal="center" vertical="top"/>
    </xf>
    <xf numFmtId="0" fontId="36" fillId="0" borderId="26" xfId="0" applyFont="1" applyBorder="1" applyAlignment="1">
      <alignment horizontal="center"/>
    </xf>
    <xf numFmtId="0" fontId="0" fillId="0" borderId="26" xfId="0" applyBorder="1" applyAlignment="1">
      <alignment horizontal="center"/>
    </xf>
    <xf numFmtId="0" fontId="34" fillId="0" borderId="0" xfId="0" applyFont="1" applyAlignment="1">
      <alignment horizontal="center" vertical="center" wrapText="1"/>
    </xf>
    <xf numFmtId="0" fontId="34" fillId="0" borderId="0" xfId="0" applyFont="1" applyAlignment="1">
      <alignment horizontal="center" vertical="center"/>
    </xf>
    <xf numFmtId="0" fontId="6" fillId="0" borderId="25" xfId="0" applyFont="1" applyBorder="1" applyAlignment="1">
      <alignment horizontal="center" vertical="top"/>
    </xf>
    <xf numFmtId="0" fontId="16" fillId="4" borderId="56" xfId="0" applyFont="1" applyFill="1" applyBorder="1" applyAlignment="1">
      <alignment horizontal="center"/>
    </xf>
    <xf numFmtId="0" fontId="16" fillId="4" borderId="57" xfId="0" applyFont="1" applyFill="1" applyBorder="1" applyAlignment="1">
      <alignment horizontal="center"/>
    </xf>
    <xf numFmtId="0" fontId="6" fillId="0" borderId="56" xfId="0" applyFont="1" applyBorder="1" applyAlignment="1">
      <alignment horizontal="center" vertical="top"/>
    </xf>
    <xf numFmtId="0" fontId="6" fillId="0" borderId="57" xfId="0" applyFont="1" applyBorder="1" applyAlignment="1">
      <alignment horizontal="center" vertical="top"/>
    </xf>
    <xf numFmtId="0" fontId="1" fillId="0" borderId="46" xfId="0" applyFont="1" applyBorder="1" applyAlignment="1">
      <alignment horizontal="right"/>
    </xf>
    <xf numFmtId="0" fontId="1" fillId="0" borderId="36" xfId="0" applyFont="1" applyBorder="1" applyAlignment="1">
      <alignment horizontal="right"/>
    </xf>
    <xf numFmtId="0" fontId="1" fillId="0" borderId="37" xfId="0" applyFont="1" applyBorder="1" applyAlignment="1">
      <alignment horizontal="right"/>
    </xf>
    <xf numFmtId="0" fontId="1" fillId="0" borderId="40" xfId="0" applyFont="1" applyBorder="1" applyAlignment="1">
      <alignment horizontal="right"/>
    </xf>
    <xf numFmtId="0" fontId="1" fillId="0" borderId="41" xfId="0" applyFont="1" applyBorder="1" applyAlignment="1">
      <alignment horizontal="right"/>
    </xf>
    <xf numFmtId="0" fontId="1" fillId="0" borderId="42" xfId="0" applyFont="1" applyBorder="1" applyAlignment="1">
      <alignment horizontal="right"/>
    </xf>
    <xf numFmtId="3" fontId="6" fillId="0" borderId="25" xfId="0" applyNumberFormat="1" applyFont="1" applyBorder="1" applyAlignment="1">
      <alignment horizontal="center"/>
    </xf>
    <xf numFmtId="3" fontId="6" fillId="0" borderId="26" xfId="0" applyNumberFormat="1" applyFont="1" applyBorder="1" applyAlignment="1">
      <alignment horizontal="center"/>
    </xf>
    <xf numFmtId="3" fontId="6" fillId="0" borderId="28" xfId="0" applyNumberFormat="1" applyFont="1" applyBorder="1" applyAlignment="1">
      <alignment horizontal="center"/>
    </xf>
    <xf numFmtId="3" fontId="6" fillId="0" borderId="30" xfId="0" applyNumberFormat="1" applyFont="1" applyBorder="1" applyAlignment="1">
      <alignment horizontal="center"/>
    </xf>
    <xf numFmtId="3" fontId="6" fillId="0" borderId="24" xfId="0" applyNumberFormat="1" applyFont="1" applyBorder="1" applyAlignment="1">
      <alignment horizontal="center"/>
    </xf>
    <xf numFmtId="3" fontId="6" fillId="0" borderId="31" xfId="0" applyNumberFormat="1" applyFont="1" applyBorder="1" applyAlignment="1">
      <alignment horizontal="center"/>
    </xf>
    <xf numFmtId="0" fontId="27" fillId="0" borderId="43" xfId="0" applyFont="1" applyBorder="1" applyAlignment="1">
      <alignment horizontal="left" vertical="top"/>
    </xf>
    <xf numFmtId="0" fontId="27" fillId="0" borderId="44" xfId="0" applyFont="1" applyBorder="1" applyAlignment="1">
      <alignment horizontal="left" vertical="top"/>
    </xf>
    <xf numFmtId="0" fontId="27" fillId="0" borderId="45" xfId="0" applyFont="1" applyBorder="1" applyAlignment="1">
      <alignment horizontal="left" vertical="top"/>
    </xf>
    <xf numFmtId="0" fontId="27" fillId="0" borderId="46" xfId="0" applyFont="1" applyBorder="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0" fontId="27" fillId="0" borderId="40" xfId="0" applyFont="1" applyBorder="1" applyAlignment="1">
      <alignment horizontal="center" vertical="center"/>
    </xf>
    <xf numFmtId="0" fontId="27" fillId="0" borderId="41" xfId="0" applyFont="1" applyBorder="1" applyAlignment="1">
      <alignment horizontal="center" vertical="center"/>
    </xf>
    <xf numFmtId="0" fontId="27" fillId="0" borderId="42" xfId="0" applyFont="1" applyBorder="1" applyAlignment="1">
      <alignment horizontal="center" vertical="center"/>
    </xf>
    <xf numFmtId="0" fontId="6" fillId="0" borderId="46" xfId="0" applyFont="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0" borderId="48" xfId="0" applyFont="1" applyBorder="1" applyAlignment="1">
      <alignment horizontal="center" vertical="center"/>
    </xf>
    <xf numFmtId="0" fontId="6" fillId="0" borderId="49" xfId="0" applyFont="1" applyBorder="1" applyAlignment="1">
      <alignment horizontal="center" vertical="center"/>
    </xf>
    <xf numFmtId="0" fontId="27" fillId="0" borderId="4" xfId="0" applyFont="1" applyBorder="1" applyAlignment="1">
      <alignment horizontal="center" vertical="center"/>
    </xf>
    <xf numFmtId="0" fontId="27" fillId="0" borderId="19" xfId="0" applyFont="1" applyBorder="1" applyAlignment="1">
      <alignment horizontal="center" vertical="center"/>
    </xf>
    <xf numFmtId="0" fontId="27" fillId="0" borderId="3" xfId="0" applyFont="1" applyBorder="1" applyAlignment="1">
      <alignment horizontal="center" vertical="center"/>
    </xf>
    <xf numFmtId="0" fontId="27" fillId="0" borderId="43" xfId="0" applyFont="1" applyBorder="1" applyAlignment="1">
      <alignment horizontal="center" wrapText="1"/>
    </xf>
    <xf numFmtId="0" fontId="27" fillId="0" borderId="44" xfId="0" applyFont="1" applyBorder="1" applyAlignment="1">
      <alignment horizontal="center" wrapText="1"/>
    </xf>
    <xf numFmtId="0" fontId="34" fillId="0" borderId="32" xfId="0" applyFont="1" applyBorder="1" applyAlignment="1">
      <alignment horizontal="center" vertical="top"/>
    </xf>
    <xf numFmtId="0" fontId="6" fillId="0" borderId="30" xfId="0" applyFont="1" applyBorder="1" applyAlignment="1">
      <alignment horizontal="center" vertical="top" wrapText="1"/>
    </xf>
    <xf numFmtId="0" fontId="6" fillId="0" borderId="24" xfId="0" applyFont="1" applyBorder="1" applyAlignment="1">
      <alignment horizontal="center" vertical="top" wrapText="1"/>
    </xf>
    <xf numFmtId="0" fontId="6" fillId="0" borderId="31" xfId="0" applyFont="1" applyBorder="1" applyAlignment="1">
      <alignment horizontal="center" vertical="top" wrapText="1"/>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45" xfId="0" applyFont="1" applyBorder="1" applyAlignment="1">
      <alignment horizontal="left" vertical="center"/>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6" fillId="0" borderId="28" xfId="0" applyFont="1" applyBorder="1" applyAlignment="1">
      <alignment horizontal="left" vertical="center"/>
    </xf>
    <xf numFmtId="0" fontId="6" fillId="0" borderId="30" xfId="0" applyFont="1" applyBorder="1" applyAlignment="1">
      <alignment horizontal="left" vertical="center"/>
    </xf>
    <xf numFmtId="0" fontId="6" fillId="0" borderId="24" xfId="0" applyFont="1" applyBorder="1" applyAlignment="1">
      <alignment horizontal="left" vertical="center"/>
    </xf>
    <xf numFmtId="0" fontId="6" fillId="0" borderId="31" xfId="0" applyFont="1" applyBorder="1" applyAlignment="1">
      <alignment horizontal="left" vertical="center"/>
    </xf>
    <xf numFmtId="0" fontId="6" fillId="0" borderId="6" xfId="0" applyFont="1" applyBorder="1" applyAlignment="1">
      <alignment horizontal="left" vertical="top" wrapText="1"/>
    </xf>
    <xf numFmtId="15" fontId="7" fillId="0" borderId="22" xfId="0" applyNumberFormat="1" applyFont="1" applyBorder="1" applyAlignment="1">
      <alignment horizontal="center"/>
    </xf>
    <xf numFmtId="0" fontId="7" fillId="0" borderId="22" xfId="0" applyFont="1" applyBorder="1" applyAlignment="1">
      <alignment horizontal="center"/>
    </xf>
    <xf numFmtId="165" fontId="7" fillId="0" borderId="6" xfId="0" applyNumberFormat="1" applyFont="1" applyBorder="1" applyAlignment="1">
      <alignment horizontal="center"/>
    </xf>
    <xf numFmtId="165" fontId="7" fillId="0" borderId="7" xfId="0" applyNumberFormat="1" applyFont="1" applyBorder="1" applyAlignment="1">
      <alignment horizontal="center"/>
    </xf>
    <xf numFmtId="165" fontId="7" fillId="0" borderId="8" xfId="0" applyNumberFormat="1" applyFont="1" applyBorder="1" applyAlignment="1">
      <alignment horizontal="center"/>
    </xf>
    <xf numFmtId="165" fontId="7" fillId="0" borderId="5" xfId="0" applyNumberFormat="1" applyFont="1" applyBorder="1" applyAlignment="1">
      <alignment horizontal="center"/>
    </xf>
    <xf numFmtId="165" fontId="7" fillId="0" borderId="1" xfId="0" applyNumberFormat="1" applyFont="1" applyBorder="1" applyAlignment="1">
      <alignment horizontal="center"/>
    </xf>
    <xf numFmtId="165" fontId="7" fillId="0" borderId="2" xfId="0" applyNumberFormat="1" applyFont="1" applyBorder="1" applyAlignment="1">
      <alignment horizontal="center"/>
    </xf>
    <xf numFmtId="0" fontId="26" fillId="0" borderId="2" xfId="0" applyFont="1" applyBorder="1" applyAlignment="1">
      <alignment horizontal="right"/>
    </xf>
    <xf numFmtId="0" fontId="26" fillId="0" borderId="9" xfId="0" applyFont="1" applyBorder="1" applyAlignment="1">
      <alignment horizontal="right"/>
    </xf>
    <xf numFmtId="0" fontId="26" fillId="0" borderId="10" xfId="0" applyFont="1" applyBorder="1" applyAlignment="1">
      <alignment horizontal="right"/>
    </xf>
    <xf numFmtId="0" fontId="26" fillId="0" borderId="11" xfId="0" applyFont="1" applyBorder="1" applyAlignment="1">
      <alignment horizontal="right"/>
    </xf>
    <xf numFmtId="3" fontId="7" fillId="0" borderId="6" xfId="0" applyNumberFormat="1" applyFont="1" applyBorder="1" applyAlignment="1">
      <alignment horizontal="center"/>
    </xf>
    <xf numFmtId="3" fontId="7" fillId="0" borderId="7" xfId="0" applyNumberFormat="1" applyFont="1" applyBorder="1" applyAlignment="1">
      <alignment horizontal="center"/>
    </xf>
    <xf numFmtId="3" fontId="7" fillId="0" borderId="8" xfId="0" applyNumberFormat="1" applyFont="1" applyBorder="1" applyAlignment="1">
      <alignment horizontal="center"/>
    </xf>
    <xf numFmtId="3" fontId="7" fillId="0" borderId="5" xfId="0" applyNumberFormat="1" applyFont="1" applyBorder="1" applyAlignment="1">
      <alignment horizontal="center"/>
    </xf>
    <xf numFmtId="3" fontId="7" fillId="0" borderId="1" xfId="0" applyNumberFormat="1" applyFont="1" applyBorder="1" applyAlignment="1">
      <alignment horizontal="center"/>
    </xf>
    <xf numFmtId="3" fontId="7" fillId="0" borderId="2" xfId="0" applyNumberFormat="1" applyFont="1" applyBorder="1" applyAlignment="1">
      <alignment horizontal="center"/>
    </xf>
    <xf numFmtId="0" fontId="7" fillId="0" borderId="3" xfId="0" applyFont="1" applyBorder="1" applyAlignment="1">
      <alignment horizontal="center" wrapText="1"/>
    </xf>
    <xf numFmtId="0" fontId="7" fillId="0" borderId="0" xfId="0" applyFont="1" applyAlignment="1">
      <alignment horizontal="center" wrapText="1"/>
    </xf>
    <xf numFmtId="0" fontId="7" fillId="0" borderId="4" xfId="0" applyFont="1" applyBorder="1" applyAlignment="1">
      <alignment horizontal="center" wrapText="1"/>
    </xf>
    <xf numFmtId="0" fontId="7" fillId="0" borderId="21" xfId="0" applyFont="1" applyBorder="1" applyAlignment="1">
      <alignment horizontal="center" wrapText="1"/>
    </xf>
    <xf numFmtId="0" fontId="7" fillId="0" borderId="22" xfId="0" applyFont="1" applyBorder="1" applyAlignment="1">
      <alignment horizontal="center" wrapText="1"/>
    </xf>
    <xf numFmtId="0" fontId="7" fillId="0" borderId="23" xfId="0" applyFont="1" applyBorder="1" applyAlignment="1">
      <alignment horizontal="center" wrapText="1"/>
    </xf>
    <xf numFmtId="0" fontId="7" fillId="0" borderId="7" xfId="0" applyFont="1" applyBorder="1" applyAlignment="1">
      <alignment horizontal="center"/>
    </xf>
    <xf numFmtId="0" fontId="7" fillId="0" borderId="8" xfId="0" applyFont="1" applyBorder="1" applyAlignment="1">
      <alignment horizontal="center"/>
    </xf>
    <xf numFmtId="0" fontId="7" fillId="0" borderId="5"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3" fontId="6" fillId="0" borderId="5" xfId="1" applyNumberFormat="1" applyFont="1" applyBorder="1" applyAlignment="1">
      <alignment horizontal="center" vertical="top"/>
    </xf>
    <xf numFmtId="3" fontId="6" fillId="0" borderId="1" xfId="1" applyNumberFormat="1" applyFont="1" applyBorder="1" applyAlignment="1">
      <alignment horizontal="center" vertical="top"/>
    </xf>
    <xf numFmtId="3" fontId="6" fillId="0" borderId="2" xfId="1" applyNumberFormat="1" applyFont="1" applyBorder="1" applyAlignment="1">
      <alignment horizontal="center" vertical="top"/>
    </xf>
    <xf numFmtId="0" fontId="25" fillId="0" borderId="6" xfId="0" applyFont="1" applyBorder="1" applyAlignment="1">
      <alignment horizontal="left" vertical="top" wrapText="1"/>
    </xf>
    <xf numFmtId="0" fontId="25" fillId="0" borderId="7" xfId="0" applyFont="1" applyBorder="1" applyAlignment="1">
      <alignment horizontal="left" vertical="top"/>
    </xf>
    <xf numFmtId="0" fontId="25" fillId="0" borderId="8" xfId="0" applyFont="1" applyBorder="1" applyAlignment="1">
      <alignment horizontal="left" vertical="top"/>
    </xf>
    <xf numFmtId="0" fontId="25" fillId="0" borderId="3" xfId="0" applyFont="1" applyBorder="1" applyAlignment="1">
      <alignment horizontal="left" vertical="top"/>
    </xf>
    <xf numFmtId="0" fontId="25" fillId="0" borderId="4" xfId="0" applyFont="1" applyBorder="1" applyAlignment="1">
      <alignment horizontal="left" vertical="top"/>
    </xf>
    <xf numFmtId="0" fontId="18" fillId="0" borderId="3" xfId="0" applyFont="1" applyBorder="1" applyAlignment="1">
      <alignment horizontal="center"/>
    </xf>
    <xf numFmtId="0" fontId="18" fillId="0" borderId="0" xfId="0" applyFont="1" applyAlignment="1">
      <alignment horizontal="center"/>
    </xf>
    <xf numFmtId="0" fontId="18" fillId="0" borderId="4" xfId="0" applyFont="1" applyBorder="1" applyAlignment="1">
      <alignment horizontal="center"/>
    </xf>
    <xf numFmtId="0" fontId="16" fillId="0" borderId="5" xfId="0" applyFont="1" applyBorder="1" applyAlignment="1">
      <alignment horizontal="center"/>
    </xf>
    <xf numFmtId="0" fontId="16" fillId="0" borderId="1" xfId="0" applyFont="1" applyBorder="1" applyAlignment="1">
      <alignment horizontal="center"/>
    </xf>
    <xf numFmtId="0" fontId="16" fillId="0" borderId="2" xfId="0" applyFont="1" applyBorder="1" applyAlignment="1">
      <alignment horizontal="center"/>
    </xf>
    <xf numFmtId="165" fontId="6" fillId="0" borderId="6" xfId="1" applyNumberFormat="1" applyFont="1" applyBorder="1" applyAlignment="1">
      <alignment horizontal="center" vertical="top"/>
    </xf>
    <xf numFmtId="165" fontId="6" fillId="0" borderId="7" xfId="1" applyNumberFormat="1" applyFont="1" applyBorder="1" applyAlignment="1">
      <alignment horizontal="center" vertical="top"/>
    </xf>
    <xf numFmtId="165" fontId="6" fillId="0" borderId="8" xfId="1" applyNumberFormat="1" applyFont="1" applyBorder="1" applyAlignment="1">
      <alignment horizontal="center" vertical="top"/>
    </xf>
    <xf numFmtId="165" fontId="6" fillId="0" borderId="3" xfId="1" applyNumberFormat="1" applyFont="1" applyBorder="1" applyAlignment="1">
      <alignment horizontal="center" vertical="top"/>
    </xf>
    <xf numFmtId="165" fontId="6" fillId="0" borderId="0" xfId="1" applyNumberFormat="1" applyFont="1" applyAlignment="1">
      <alignment horizontal="center" vertical="top"/>
    </xf>
    <xf numFmtId="165" fontId="6" fillId="0" borderId="4" xfId="1" applyNumberFormat="1" applyFont="1" applyBorder="1" applyAlignment="1">
      <alignment horizontal="center" vertical="top"/>
    </xf>
    <xf numFmtId="165" fontId="6" fillId="0" borderId="5" xfId="1" applyNumberFormat="1" applyFont="1" applyBorder="1" applyAlignment="1">
      <alignment horizontal="center" vertical="top"/>
    </xf>
    <xf numFmtId="165" fontId="6" fillId="0" borderId="1" xfId="1" applyNumberFormat="1" applyFont="1" applyBorder="1" applyAlignment="1">
      <alignment horizontal="center" vertical="top"/>
    </xf>
    <xf numFmtId="165" fontId="6" fillId="0" borderId="2" xfId="1" applyNumberFormat="1" applyFont="1" applyBorder="1" applyAlignment="1">
      <alignment horizontal="center" vertical="top"/>
    </xf>
    <xf numFmtId="165" fontId="24" fillId="0" borderId="6" xfId="1" applyNumberFormat="1" applyFont="1" applyBorder="1" applyAlignment="1">
      <alignment horizontal="center" vertical="top"/>
    </xf>
    <xf numFmtId="165" fontId="24" fillId="0" borderId="7" xfId="1" applyNumberFormat="1" applyFont="1" applyBorder="1" applyAlignment="1">
      <alignment horizontal="center" vertical="top"/>
    </xf>
    <xf numFmtId="165" fontId="24" fillId="0" borderId="8" xfId="1" applyNumberFormat="1" applyFont="1" applyBorder="1" applyAlignment="1">
      <alignment horizontal="center" vertical="top"/>
    </xf>
    <xf numFmtId="165" fontId="24" fillId="0" borderId="3" xfId="1" applyNumberFormat="1" applyFont="1" applyBorder="1" applyAlignment="1">
      <alignment horizontal="center" vertical="top"/>
    </xf>
    <xf numFmtId="165" fontId="24" fillId="0" borderId="0" xfId="1" applyNumberFormat="1" applyFont="1" applyAlignment="1">
      <alignment horizontal="center" vertical="top"/>
    </xf>
    <xf numFmtId="165" fontId="24" fillId="0" borderId="4" xfId="1" applyNumberFormat="1" applyFont="1" applyBorder="1" applyAlignment="1">
      <alignment horizontal="center" vertical="top"/>
    </xf>
    <xf numFmtId="0" fontId="16" fillId="3" borderId="9" xfId="0" applyFont="1" applyFill="1" applyBorder="1" applyAlignment="1">
      <alignment horizontal="center"/>
    </xf>
    <xf numFmtId="0" fontId="21" fillId="0" borderId="5" xfId="0" applyFont="1" applyBorder="1" applyAlignment="1">
      <alignment horizontal="center" vertical="center"/>
    </xf>
    <xf numFmtId="0" fontId="21" fillId="0" borderId="1" xfId="0" applyFont="1" applyBorder="1" applyAlignment="1">
      <alignment horizontal="center" vertical="center"/>
    </xf>
    <xf numFmtId="0" fontId="6" fillId="0" borderId="0" xfId="0" applyFont="1" applyBorder="1" applyAlignment="1">
      <alignment horizontal="left" vertical="top"/>
    </xf>
  </cellXfs>
  <cellStyles count="2">
    <cellStyle name="Comma" xfId="1" builtinId="3"/>
    <cellStyle name="Normal" xfId="0" builtinId="0"/>
  </cellStyles>
  <dxfs count="0"/>
  <tableStyles count="0" defaultTableStyle="TableStyleMedium2" defaultPivotStyle="PivotStyleLight16"/>
  <colors>
    <mruColors>
      <color rgb="FFFFFF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18</xdr:col>
      <xdr:colOff>100000</xdr:colOff>
      <xdr:row>0</xdr:row>
      <xdr:rowOff>285199</xdr:rowOff>
    </xdr:from>
    <xdr:to>
      <xdr:col>32</xdr:col>
      <xdr:colOff>113328</xdr:colOff>
      <xdr:row>2</xdr:row>
      <xdr:rowOff>52674</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2397125" y="285115"/>
          <a:ext cx="1800225" cy="243205"/>
        </a:xfrm>
        <a:prstGeom prst="rect">
          <a:avLst/>
        </a:prstGeom>
        <a:noFill/>
        <a:ln w="3175">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flipV="1">
          <a:off x="3328035" y="5539740"/>
          <a:ext cx="883920" cy="461010"/>
        </a:xfrm>
        <a:prstGeom prst="line">
          <a:avLst/>
        </a:prstGeom>
        <a:ln>
          <a:solidFill>
            <a:schemeClr val="accent6">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000-000003000000}"/>
            </a:ext>
          </a:extLst>
        </xdr:cNvPr>
        <xdr:cNvSpPr/>
      </xdr:nvSpPr>
      <xdr:spPr>
        <a:xfrm>
          <a:off x="1003935" y="405638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000-000004000000}"/>
            </a:ext>
          </a:extLst>
        </xdr:cNvPr>
        <xdr:cNvSpPr/>
      </xdr:nvSpPr>
      <xdr:spPr>
        <a:xfrm>
          <a:off x="2607945" y="446786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For Carrier Use Only</a:t>
          </a:r>
        </a:p>
      </xdr:txBody>
    </xdr:sp>
    <xdr:clientData/>
  </xdr:twoCellAnchor>
  <xdr:twoCellAnchor>
    <xdr:from>
      <xdr:col>6</xdr:col>
      <xdr:colOff>58511</xdr:colOff>
      <xdr:row>36</xdr:row>
      <xdr:rowOff>190085</xdr:rowOff>
    </xdr:from>
    <xdr:to>
      <xdr:col>19</xdr:col>
      <xdr:colOff>41855</xdr:colOff>
      <xdr:row>37</xdr:row>
      <xdr:rowOff>120009</xdr:rowOff>
    </xdr:to>
    <xdr:sp macro="" textlink="">
      <xdr:nvSpPr>
        <xdr:cNvPr id="5" name="Flowchart: Manual Operation 6">
          <a:extLst>
            <a:ext uri="{FF2B5EF4-FFF2-40B4-BE49-F238E27FC236}">
              <a16:creationId xmlns:a16="http://schemas.microsoft.com/office/drawing/2014/main" id="{00000000-0008-0000-0000-000005000000}"/>
            </a:ext>
          </a:extLst>
        </xdr:cNvPr>
        <xdr:cNvSpPr/>
      </xdr:nvSpPr>
      <xdr:spPr>
        <a:xfrm>
          <a:off x="824230" y="7470775"/>
          <a:ext cx="1642110" cy="14287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Weight Charges</a:t>
          </a:r>
        </a:p>
      </xdr:txBody>
    </xdr:sp>
    <xdr:clientData/>
  </xdr:twoCellAnchor>
  <xdr:twoCellAnchor>
    <xdr:from>
      <xdr:col>19</xdr:col>
      <xdr:colOff>57728</xdr:colOff>
      <xdr:row>37</xdr:row>
      <xdr:rowOff>1028</xdr:rowOff>
    </xdr:from>
    <xdr:to>
      <xdr:col>26</xdr:col>
      <xdr:colOff>111920</xdr:colOff>
      <xdr:row>37</xdr:row>
      <xdr:rowOff>123328</xdr:rowOff>
    </xdr:to>
    <xdr:sp macro="" textlink="">
      <xdr:nvSpPr>
        <xdr:cNvPr id="6" name="Flowchart: Manual Operation 6">
          <a:extLst>
            <a:ext uri="{FF2B5EF4-FFF2-40B4-BE49-F238E27FC236}">
              <a16:creationId xmlns:a16="http://schemas.microsoft.com/office/drawing/2014/main" id="{00000000-0008-0000-0000-000006000000}"/>
            </a:ext>
          </a:extLst>
        </xdr:cNvPr>
        <xdr:cNvSpPr/>
      </xdr:nvSpPr>
      <xdr:spPr>
        <a:xfrm>
          <a:off x="2482215" y="749490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Collect</a:t>
          </a:r>
        </a:p>
      </xdr:txBody>
    </xdr:sp>
    <xdr:clientData/>
  </xdr:twoCellAnchor>
  <xdr:twoCellAnchor>
    <xdr:from>
      <xdr:col>0</xdr:col>
      <xdr:colOff>0</xdr:colOff>
      <xdr:row>37</xdr:row>
      <xdr:rowOff>2111</xdr:rowOff>
    </xdr:from>
    <xdr:to>
      <xdr:col>6</xdr:col>
      <xdr:colOff>50512</xdr:colOff>
      <xdr:row>37</xdr:row>
      <xdr:rowOff>112721</xdr:rowOff>
    </xdr:to>
    <xdr:sp macro="" textlink="">
      <xdr:nvSpPr>
        <xdr:cNvPr id="7" name="Flowchart: Manual Operation 6">
          <a:extLst>
            <a:ext uri="{FF2B5EF4-FFF2-40B4-BE49-F238E27FC236}">
              <a16:creationId xmlns:a16="http://schemas.microsoft.com/office/drawing/2014/main" id="{00000000-0008-0000-0000-000007000000}"/>
            </a:ext>
          </a:extLst>
        </xdr:cNvPr>
        <xdr:cNvSpPr/>
      </xdr:nvSpPr>
      <xdr:spPr>
        <a:xfrm>
          <a:off x="0" y="749617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Prepaid</a:t>
          </a:r>
        </a:p>
      </xdr:txBody>
    </xdr:sp>
    <xdr:clientData/>
  </xdr:twoCellAnchor>
  <xdr:twoCellAnchor>
    <xdr:from>
      <xdr:col>6</xdr:col>
      <xdr:colOff>57934</xdr:colOff>
      <xdr:row>39</xdr:row>
      <xdr:rowOff>3113</xdr:rowOff>
    </xdr:from>
    <xdr:to>
      <xdr:col>19</xdr:col>
      <xdr:colOff>42433</xdr:colOff>
      <xdr:row>39</xdr:row>
      <xdr:rowOff>123537</xdr:rowOff>
    </xdr:to>
    <xdr:sp macro="" textlink="">
      <xdr:nvSpPr>
        <xdr:cNvPr id="8" name="Flowchart: Manual Operation 6">
          <a:extLst>
            <a:ext uri="{FF2B5EF4-FFF2-40B4-BE49-F238E27FC236}">
              <a16:creationId xmlns:a16="http://schemas.microsoft.com/office/drawing/2014/main" id="{00000000-0008-0000-0000-000008000000}"/>
            </a:ext>
          </a:extLst>
        </xdr:cNvPr>
        <xdr:cNvSpPr/>
      </xdr:nvSpPr>
      <xdr:spPr>
        <a:xfrm>
          <a:off x="823595" y="780542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Valuation Charge</a:t>
          </a:r>
        </a:p>
      </xdr:txBody>
    </xdr:sp>
    <xdr:clientData/>
  </xdr:twoCellAnchor>
  <xdr:twoCellAnchor>
    <xdr:from>
      <xdr:col>6</xdr:col>
      <xdr:colOff>58511</xdr:colOff>
      <xdr:row>41</xdr:row>
      <xdr:rowOff>3978</xdr:rowOff>
    </xdr:from>
    <xdr:to>
      <xdr:col>19</xdr:col>
      <xdr:colOff>41855</xdr:colOff>
      <xdr:row>41</xdr:row>
      <xdr:rowOff>124402</xdr:rowOff>
    </xdr:to>
    <xdr:sp macro="" textlink="">
      <xdr:nvSpPr>
        <xdr:cNvPr id="9" name="Flowchart: Manual Operation 6">
          <a:extLst>
            <a:ext uri="{FF2B5EF4-FFF2-40B4-BE49-F238E27FC236}">
              <a16:creationId xmlns:a16="http://schemas.microsoft.com/office/drawing/2014/main" id="{00000000-0008-0000-0000-000009000000}"/>
            </a:ext>
          </a:extLst>
        </xdr:cNvPr>
        <xdr:cNvSpPr/>
      </xdr:nvSpPr>
      <xdr:spPr>
        <a:xfrm>
          <a:off x="824230" y="811530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Tax</a:t>
          </a:r>
        </a:p>
      </xdr:txBody>
    </xdr:sp>
    <xdr:clientData/>
  </xdr:twoCellAnchor>
  <xdr:twoCellAnchor>
    <xdr:from>
      <xdr:col>6</xdr:col>
      <xdr:colOff>58511</xdr:colOff>
      <xdr:row>43</xdr:row>
      <xdr:rowOff>2463</xdr:rowOff>
    </xdr:from>
    <xdr:to>
      <xdr:col>19</xdr:col>
      <xdr:colOff>41855</xdr:colOff>
      <xdr:row>43</xdr:row>
      <xdr:rowOff>122887</xdr:rowOff>
    </xdr:to>
    <xdr:sp macro="" textlink="">
      <xdr:nvSpPr>
        <xdr:cNvPr id="10" name="Flowchart: Manual Operation 6">
          <a:extLst>
            <a:ext uri="{FF2B5EF4-FFF2-40B4-BE49-F238E27FC236}">
              <a16:creationId xmlns:a16="http://schemas.microsoft.com/office/drawing/2014/main" id="{00000000-0008-0000-0000-00000A000000}"/>
            </a:ext>
          </a:extLst>
        </xdr:cNvPr>
        <xdr:cNvSpPr/>
      </xdr:nvSpPr>
      <xdr:spPr>
        <a:xfrm>
          <a:off x="824230" y="842200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Total</a:t>
          </a:r>
          <a:r>
            <a:rPr lang="en-ID" sz="600" b="1" baseline="0">
              <a:solidFill>
                <a:srgbClr val="00B050"/>
              </a:solidFill>
              <a:latin typeface="Arial Narrow" panose="020B0706020202030204" pitchFamily="34" charset="0"/>
            </a:rPr>
            <a:t> Other Charges Due Agent</a:t>
          </a:r>
          <a:endParaRPr lang="en-ID" sz="600" b="1">
            <a:solidFill>
              <a:srgbClr val="00B050"/>
            </a:solidFill>
            <a:latin typeface="Arial Narrow" panose="020B0706020202030204" pitchFamily="34" charset="0"/>
          </a:endParaRPr>
        </a:p>
      </xdr:txBody>
    </xdr:sp>
    <xdr:clientData/>
  </xdr:twoCellAnchor>
  <xdr:twoCellAnchor>
    <xdr:from>
      <xdr:col>6</xdr:col>
      <xdr:colOff>58511</xdr:colOff>
      <xdr:row>44</xdr:row>
      <xdr:rowOff>94682</xdr:rowOff>
    </xdr:from>
    <xdr:to>
      <xdr:col>19</xdr:col>
      <xdr:colOff>41855</xdr:colOff>
      <xdr:row>45</xdr:row>
      <xdr:rowOff>121300</xdr:rowOff>
    </xdr:to>
    <xdr:sp macro="" textlink="">
      <xdr:nvSpPr>
        <xdr:cNvPr id="11" name="Flowchart: Manual Operation 6">
          <a:extLst>
            <a:ext uri="{FF2B5EF4-FFF2-40B4-BE49-F238E27FC236}">
              <a16:creationId xmlns:a16="http://schemas.microsoft.com/office/drawing/2014/main" id="{00000000-0008-0000-0000-00000B000000}"/>
            </a:ext>
          </a:extLst>
        </xdr:cNvPr>
        <xdr:cNvSpPr/>
      </xdr:nvSpPr>
      <xdr:spPr>
        <a:xfrm>
          <a:off x="824230" y="870521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Total Other Charges Due Carrier</a:t>
          </a:r>
        </a:p>
      </xdr:txBody>
    </xdr:sp>
    <xdr:clientData/>
  </xdr:twoCellAnchor>
  <xdr:twoCellAnchor>
    <xdr:from>
      <xdr:col>0</xdr:col>
      <xdr:colOff>10160</xdr:colOff>
      <xdr:row>49</xdr:row>
      <xdr:rowOff>2969</xdr:rowOff>
    </xdr:from>
    <xdr:to>
      <xdr:col>12</xdr:col>
      <xdr:colOff>108958</xdr:colOff>
      <xdr:row>49</xdr:row>
      <xdr:rowOff>123393</xdr:rowOff>
    </xdr:to>
    <xdr:sp macro="" textlink="">
      <xdr:nvSpPr>
        <xdr:cNvPr id="12" name="Flowchart: Manual Operation 6">
          <a:extLst>
            <a:ext uri="{FF2B5EF4-FFF2-40B4-BE49-F238E27FC236}">
              <a16:creationId xmlns:a16="http://schemas.microsoft.com/office/drawing/2014/main" id="{00000000-0008-0000-0000-00000C000000}"/>
            </a:ext>
          </a:extLst>
        </xdr:cNvPr>
        <xdr:cNvSpPr/>
      </xdr:nvSpPr>
      <xdr:spPr>
        <a:xfrm>
          <a:off x="10160" y="930275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Total Prepaid</a:t>
          </a:r>
        </a:p>
      </xdr:txBody>
    </xdr:sp>
    <xdr:clientData/>
  </xdr:twoCellAnchor>
  <xdr:twoCellAnchor>
    <xdr:from>
      <xdr:col>13</xdr:col>
      <xdr:colOff>7418</xdr:colOff>
      <xdr:row>49</xdr:row>
      <xdr:rowOff>1454</xdr:rowOff>
    </xdr:from>
    <xdr:to>
      <xdr:col>26</xdr:col>
      <xdr:colOff>107156</xdr:colOff>
      <xdr:row>49</xdr:row>
      <xdr:rowOff>121878</xdr:rowOff>
    </xdr:to>
    <xdr:sp macro="" textlink="">
      <xdr:nvSpPr>
        <xdr:cNvPr id="13" name="Flowchart: Manual Operation 6">
          <a:extLst>
            <a:ext uri="{FF2B5EF4-FFF2-40B4-BE49-F238E27FC236}">
              <a16:creationId xmlns:a16="http://schemas.microsoft.com/office/drawing/2014/main" id="{00000000-0008-0000-0000-00000D000000}"/>
            </a:ext>
          </a:extLst>
        </xdr:cNvPr>
        <xdr:cNvSpPr/>
      </xdr:nvSpPr>
      <xdr:spPr>
        <a:xfrm>
          <a:off x="1666240" y="930148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Total Collect</a:t>
          </a:r>
        </a:p>
      </xdr:txBody>
    </xdr:sp>
    <xdr:clientData/>
  </xdr:twoCellAnchor>
  <xdr:twoCellAnchor>
    <xdr:from>
      <xdr:col>0</xdr:col>
      <xdr:colOff>202</xdr:colOff>
      <xdr:row>51</xdr:row>
      <xdr:rowOff>1453</xdr:rowOff>
    </xdr:from>
    <xdr:to>
      <xdr:col>12</xdr:col>
      <xdr:colOff>99000</xdr:colOff>
      <xdr:row>51</xdr:row>
      <xdr:rowOff>121877</xdr:rowOff>
    </xdr:to>
    <xdr:sp macro="" textlink="">
      <xdr:nvSpPr>
        <xdr:cNvPr id="14" name="Flowchart: Manual Operation 6">
          <a:extLst>
            <a:ext uri="{FF2B5EF4-FFF2-40B4-BE49-F238E27FC236}">
              <a16:creationId xmlns:a16="http://schemas.microsoft.com/office/drawing/2014/main" id="{00000000-0008-0000-0000-00000E000000}"/>
            </a:ext>
          </a:extLst>
        </xdr:cNvPr>
        <xdr:cNvSpPr/>
      </xdr:nvSpPr>
      <xdr:spPr>
        <a:xfrm>
          <a:off x="0" y="961009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Currency Conversion Rates</a:t>
          </a:r>
        </a:p>
      </xdr:txBody>
    </xdr:sp>
    <xdr:clientData/>
  </xdr:twoCellAnchor>
  <xdr:twoCellAnchor>
    <xdr:from>
      <xdr:col>13</xdr:col>
      <xdr:colOff>7145</xdr:colOff>
      <xdr:row>51</xdr:row>
      <xdr:rowOff>2319</xdr:rowOff>
    </xdr:from>
    <xdr:to>
      <xdr:col>26</xdr:col>
      <xdr:colOff>109539</xdr:colOff>
      <xdr:row>51</xdr:row>
      <xdr:rowOff>122743</xdr:rowOff>
    </xdr:to>
    <xdr:sp macro="" textlink="">
      <xdr:nvSpPr>
        <xdr:cNvPr id="15" name="Flowchart: Manual Operation 6">
          <a:extLst>
            <a:ext uri="{FF2B5EF4-FFF2-40B4-BE49-F238E27FC236}">
              <a16:creationId xmlns:a16="http://schemas.microsoft.com/office/drawing/2014/main" id="{00000000-0008-0000-0000-00000F000000}"/>
            </a:ext>
          </a:extLst>
        </xdr:cNvPr>
        <xdr:cNvSpPr/>
      </xdr:nvSpPr>
      <xdr:spPr>
        <a:xfrm>
          <a:off x="1666240" y="961072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cc Charges in Dest. Currency</a:t>
          </a:r>
        </a:p>
      </xdr:txBody>
    </xdr:sp>
    <xdr:clientData/>
  </xdr:twoCellAnchor>
  <xdr:twoCellAnchor>
    <xdr:from>
      <xdr:col>13</xdr:col>
      <xdr:colOff>5541</xdr:colOff>
      <xdr:row>53</xdr:row>
      <xdr:rowOff>3185</xdr:rowOff>
    </xdr:from>
    <xdr:to>
      <xdr:col>26</xdr:col>
      <xdr:colOff>105497</xdr:colOff>
      <xdr:row>53</xdr:row>
      <xdr:rowOff>123609</xdr:rowOff>
    </xdr:to>
    <xdr:sp macro="" textlink="">
      <xdr:nvSpPr>
        <xdr:cNvPr id="16" name="Flowchart: Manual Operation 6">
          <a:extLst>
            <a:ext uri="{FF2B5EF4-FFF2-40B4-BE49-F238E27FC236}">
              <a16:creationId xmlns:a16="http://schemas.microsoft.com/office/drawing/2014/main" id="{00000000-0008-0000-0000-000010000000}"/>
            </a:ext>
          </a:extLst>
        </xdr:cNvPr>
        <xdr:cNvSpPr/>
      </xdr:nvSpPr>
      <xdr:spPr>
        <a:xfrm>
          <a:off x="1664335" y="992060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Charges at Destination</a:t>
          </a:r>
        </a:p>
      </xdr:txBody>
    </xdr:sp>
    <xdr:clientData/>
  </xdr:twoCellAnchor>
  <xdr:twoCellAnchor>
    <xdr:from>
      <xdr:col>27</xdr:col>
      <xdr:colOff>13624</xdr:colOff>
      <xdr:row>53</xdr:row>
      <xdr:rowOff>1670</xdr:rowOff>
    </xdr:from>
    <xdr:to>
      <xdr:col>39</xdr:col>
      <xdr:colOff>104632</xdr:colOff>
      <xdr:row>53</xdr:row>
      <xdr:rowOff>122094</xdr:rowOff>
    </xdr:to>
    <xdr:sp macro="" textlink="">
      <xdr:nvSpPr>
        <xdr:cNvPr id="17" name="Flowchart: Manual Operation 6">
          <a:extLst>
            <a:ext uri="{FF2B5EF4-FFF2-40B4-BE49-F238E27FC236}">
              <a16:creationId xmlns:a16="http://schemas.microsoft.com/office/drawing/2014/main" id="{00000000-0008-0000-0000-000011000000}"/>
            </a:ext>
          </a:extLst>
        </xdr:cNvPr>
        <xdr:cNvSpPr/>
      </xdr:nvSpPr>
      <xdr:spPr>
        <a:xfrm>
          <a:off x="3459480" y="991870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chemeClr val="accent6">
              <a:lumMod val="7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B050"/>
              </a:solidFill>
              <a:latin typeface="Arial Narrow" panose="020B0706020202030204" pitchFamily="34" charset="0"/>
            </a:rPr>
            <a:t>Total Collect Charges</a:t>
          </a:r>
        </a:p>
      </xdr:txBody>
    </xdr:sp>
    <xdr:clientData/>
  </xdr:twoCellAnchor>
  <xdr:twoCellAnchor>
    <xdr:from>
      <xdr:col>18</xdr:col>
      <xdr:colOff>101765</xdr:colOff>
      <xdr:row>5</xdr:row>
      <xdr:rowOff>190398</xdr:rowOff>
    </xdr:from>
    <xdr:to>
      <xdr:col>33</xdr:col>
      <xdr:colOff>1272</xdr:colOff>
      <xdr:row>7</xdr:row>
      <xdr:rowOff>54439</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2399030" y="1256665"/>
          <a:ext cx="1814195" cy="290830"/>
        </a:xfrm>
        <a:prstGeom prst="rect">
          <a:avLst/>
        </a:prstGeom>
        <a:noFill/>
        <a:ln w="3175">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5</xdr:col>
      <xdr:colOff>91995</xdr:colOff>
      <xdr:row>23</xdr:row>
      <xdr:rowOff>18924</xdr:rowOff>
    </xdr:from>
    <xdr:ext cx="6109365" cy="617608"/>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729615" y="4921885"/>
          <a:ext cx="6109335" cy="617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32</xdr:col>
      <xdr:colOff>24679</xdr:colOff>
      <xdr:row>38</xdr:row>
      <xdr:rowOff>13685</xdr:rowOff>
    </xdr:from>
    <xdr:ext cx="1369606" cy="777459"/>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4108450" y="7720965"/>
          <a:ext cx="1369695" cy="777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latin typeface="Courier New" panose="02070609020205020404" pitchFamily="49" charset="0"/>
              <a:cs typeface="Courier New" panose="02070609020205020404" pitchFamily="49" charset="0"/>
            </a:rPr>
            <a:t>FIC</a:t>
          </a:r>
          <a:r>
            <a:rPr lang="en-ID" sz="1100" baseline="0">
              <a:latin typeface="Courier New" panose="02070609020205020404" pitchFamily="49" charset="0"/>
              <a:cs typeface="Courier New" panose="02070609020205020404" pitchFamily="49" charset="0"/>
            </a:rPr>
            <a:t> IDR 533</a:t>
          </a:r>
          <a:endParaRPr lang="en-ID" sz="1100">
            <a:latin typeface="Courier New" panose="02070609020205020404" pitchFamily="49" charset="0"/>
            <a:cs typeface="Courier New" panose="02070609020205020404" pitchFamily="49" charset="0"/>
          </a:endParaRPr>
        </a:p>
      </xdr:txBody>
    </xdr:sp>
    <xdr:clientData/>
  </xdr:oneCellAnchor>
  <xdr:oneCellAnchor>
    <xdr:from>
      <xdr:col>44</xdr:col>
      <xdr:colOff>67501</xdr:colOff>
      <xdr:row>28</xdr:row>
      <xdr:rowOff>45000</xdr:rowOff>
    </xdr:from>
    <xdr:ext cx="2055000" cy="2185214"/>
    <xdr:sp macro="" textlink="">
      <xdr:nvSpPr>
        <xdr:cNvPr id="21" name="TextBox 20">
          <a:extLst>
            <a:ext uri="{FF2B5EF4-FFF2-40B4-BE49-F238E27FC236}">
              <a16:creationId xmlns:a16="http://schemas.microsoft.com/office/drawing/2014/main" id="{6D634388-98B8-ECA1-81F0-4DCDE9D25F12}"/>
            </a:ext>
          </a:extLst>
        </xdr:cNvPr>
        <xdr:cNvSpPr txBox="1"/>
      </xdr:nvSpPr>
      <xdr:spPr>
        <a:xfrm>
          <a:off x="5017501" y="5512500"/>
          <a:ext cx="2055000" cy="2185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latin typeface="Courier New" panose="02070309020205020404" pitchFamily="49" charset="0"/>
              <a:cs typeface="Courier New" panose="02070309020205020404" pitchFamily="49" charset="0"/>
            </a:rPr>
            <a:t>COURIER SHIPMENT</a:t>
          </a:r>
        </a:p>
        <a:p>
          <a:r>
            <a:rPr lang="en-ID" sz="900">
              <a:latin typeface="Courier New" panose="02070309020205020404" pitchFamily="49" charset="0"/>
              <a:cs typeface="Courier New" panose="02070309020205020404" pitchFamily="49" charset="0"/>
            </a:rPr>
            <a:t>HS CODE: 63071090</a:t>
          </a:r>
        </a:p>
        <a:p>
          <a:r>
            <a:rPr lang="en-ID" sz="900">
              <a:latin typeface="Courier New" panose="02070309020205020404" pitchFamily="49" charset="0"/>
              <a:cs typeface="Courier New" panose="02070309020205020404" pitchFamily="49" charset="0"/>
            </a:rPr>
            <a:t>HS CODE: 56012290</a:t>
          </a:r>
        </a:p>
        <a:p>
          <a:r>
            <a:rPr lang="en-ID" sz="900">
              <a:latin typeface="Courier New" panose="02070309020205020404" pitchFamily="49" charset="0"/>
              <a:cs typeface="Courier New" panose="02070309020205020404" pitchFamily="49" charset="0"/>
            </a:rPr>
            <a:t>HS CODE: 33073000</a:t>
          </a:r>
        </a:p>
        <a:p>
          <a:r>
            <a:rPr lang="en-ID" sz="900">
              <a:latin typeface="Courier New" panose="02070309020205020404" pitchFamily="49" charset="0"/>
              <a:cs typeface="Courier New" panose="02070309020205020404" pitchFamily="49" charset="0"/>
            </a:rPr>
            <a:t>HS CODE: 62171090</a:t>
          </a:r>
        </a:p>
        <a:p>
          <a:r>
            <a:rPr lang="en-ID" sz="900">
              <a:latin typeface="Courier New" panose="02070309020205020404" pitchFamily="49" charset="0"/>
              <a:cs typeface="Courier New" panose="02070309020205020404" pitchFamily="49" charset="0"/>
            </a:rPr>
            <a:t>HS CODE: 19059090</a:t>
          </a:r>
        </a:p>
        <a:p>
          <a:r>
            <a:rPr lang="en-ID" sz="900">
              <a:latin typeface="Courier New" panose="02070309020205020404" pitchFamily="49" charset="0"/>
              <a:cs typeface="Courier New" panose="02070309020205020404" pitchFamily="49" charset="0"/>
            </a:rPr>
            <a:t>DIMS</a:t>
          </a:r>
        </a:p>
        <a:p>
          <a:r>
            <a:rPr lang="en-ID" sz="900">
              <a:latin typeface="Courier New" panose="02070309020205020404" pitchFamily="49" charset="0"/>
              <a:cs typeface="Courier New" panose="02070309020205020404" pitchFamily="49" charset="0"/>
            </a:rPr>
            <a:t>73X38X32 / 1 </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77X38X26 / 1  74X34X25 / 1   80X40X30 / 1</a:t>
          </a:r>
        </a:p>
        <a:p>
          <a:r>
            <a:rPr lang="en-ID" sz="900">
              <a:latin typeface="Courier New" panose="02070309020205020404" pitchFamily="49" charset="0"/>
              <a:cs typeface="Courier New" panose="02070309020205020404" pitchFamily="49" charset="0"/>
            </a:rPr>
            <a:t>70X60X20 / 2   65X40X25 / 3</a:t>
          </a:r>
        </a:p>
        <a:p>
          <a:r>
            <a:rPr lang="en-ID" sz="900">
              <a:latin typeface="Courier New" panose="02070309020205020404" pitchFamily="49" charset="0"/>
              <a:cs typeface="Courier New" panose="02070309020205020404" pitchFamily="49" charset="0"/>
            </a:rPr>
            <a:t>70X50X20 / 1   57X40X30 / 1</a:t>
          </a:r>
        </a:p>
        <a:p>
          <a:r>
            <a:rPr lang="en-ID" sz="900">
              <a:latin typeface="Courier New" panose="02070309020205020404" pitchFamily="49" charset="0"/>
              <a:cs typeface="Courier New" panose="02070309020205020404" pitchFamily="49" charset="0"/>
            </a:rPr>
            <a:t>50X40X20 / 2</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75X40X30 / 2</a:t>
          </a:r>
        </a:p>
        <a:p>
          <a:r>
            <a:rPr lang="en-ID" sz="900">
              <a:latin typeface="Courier New" panose="02070309020205020404" pitchFamily="49" charset="0"/>
              <a:cs typeface="Courier New" panose="02070309020205020404" pitchFamily="49" charset="0"/>
            </a:rPr>
            <a:t>70X40X25 / 1   70X38X30 / 1</a:t>
          </a:r>
        </a:p>
        <a:p>
          <a:r>
            <a:rPr lang="en-ID" sz="900">
              <a:latin typeface="Courier New" panose="02070309020205020404" pitchFamily="49" charset="0"/>
              <a:cs typeface="Courier New" panose="02070309020205020404" pitchFamily="49" charset="0"/>
            </a:rPr>
            <a:t>77X38X26 / 1   40X35X23 / 1</a:t>
          </a:r>
        </a:p>
        <a:p>
          <a:r>
            <a:rPr lang="en-ID" sz="900">
              <a:latin typeface="Courier New" panose="02070309020205020404" pitchFamily="49" charset="0"/>
              <a:cs typeface="Courier New" panose="02070309020205020404" pitchFamily="49" charset="0"/>
            </a:rPr>
            <a:t>56X50X21 / 1   45X28X24 / 1</a:t>
          </a:r>
        </a:p>
        <a:p>
          <a:endParaRPr lang="en-ID" sz="900">
            <a:latin typeface="Courier New" panose="02070309020205020404" pitchFamily="49" charset="0"/>
            <a:cs typeface="Courier New" panose="02070309020205020404" pitchFamily="49"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flipV="1">
          <a:off x="3328035" y="5634990"/>
          <a:ext cx="883920" cy="461010"/>
        </a:xfrm>
        <a:prstGeom prst="line">
          <a:avLst/>
        </a:prstGeom>
        <a:ln>
          <a:solidFill>
            <a:srgbClr val="FF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1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1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rgbClr val="FF5050"/>
        </a:solid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For Carrier Use Only</a:t>
          </a:r>
        </a:p>
      </xdr:txBody>
    </xdr:sp>
    <xdr:clientData/>
  </xdr:twoCellAnchor>
  <xdr:twoCellAnchor>
    <xdr:from>
      <xdr:col>6</xdr:col>
      <xdr:colOff>58511</xdr:colOff>
      <xdr:row>36</xdr:row>
      <xdr:rowOff>190085</xdr:rowOff>
    </xdr:from>
    <xdr:to>
      <xdr:col>19</xdr:col>
      <xdr:colOff>41855</xdr:colOff>
      <xdr:row>37</xdr:row>
      <xdr:rowOff>120009</xdr:rowOff>
    </xdr:to>
    <xdr:sp macro="" textlink="">
      <xdr:nvSpPr>
        <xdr:cNvPr id="5" name="Flowchart: Manual Operation 6">
          <a:extLst>
            <a:ext uri="{FF2B5EF4-FFF2-40B4-BE49-F238E27FC236}">
              <a16:creationId xmlns:a16="http://schemas.microsoft.com/office/drawing/2014/main" id="{00000000-0008-0000-0100-000005000000}"/>
            </a:ext>
          </a:extLst>
        </xdr:cNvPr>
        <xdr:cNvSpPr/>
      </xdr:nvSpPr>
      <xdr:spPr>
        <a:xfrm>
          <a:off x="824230" y="7566025"/>
          <a:ext cx="1642110" cy="14287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Weight Charges</a:t>
          </a:r>
        </a:p>
      </xdr:txBody>
    </xdr:sp>
    <xdr:clientData/>
  </xdr:twoCellAnchor>
  <xdr:twoCellAnchor>
    <xdr:from>
      <xdr:col>19</xdr:col>
      <xdr:colOff>57728</xdr:colOff>
      <xdr:row>37</xdr:row>
      <xdr:rowOff>1028</xdr:rowOff>
    </xdr:from>
    <xdr:to>
      <xdr:col>26</xdr:col>
      <xdr:colOff>111920</xdr:colOff>
      <xdr:row>37</xdr:row>
      <xdr:rowOff>123328</xdr:rowOff>
    </xdr:to>
    <xdr:sp macro="" textlink="">
      <xdr:nvSpPr>
        <xdr:cNvPr id="6" name="Flowchart: Manual Operation 6">
          <a:extLst>
            <a:ext uri="{FF2B5EF4-FFF2-40B4-BE49-F238E27FC236}">
              <a16:creationId xmlns:a16="http://schemas.microsoft.com/office/drawing/2014/main" id="{00000000-0008-0000-01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Collect</a:t>
          </a:r>
        </a:p>
      </xdr:txBody>
    </xdr:sp>
    <xdr:clientData/>
  </xdr:twoCellAnchor>
  <xdr:twoCellAnchor>
    <xdr:from>
      <xdr:col>0</xdr:col>
      <xdr:colOff>0</xdr:colOff>
      <xdr:row>37</xdr:row>
      <xdr:rowOff>2111</xdr:rowOff>
    </xdr:from>
    <xdr:to>
      <xdr:col>6</xdr:col>
      <xdr:colOff>50512</xdr:colOff>
      <xdr:row>37</xdr:row>
      <xdr:rowOff>112721</xdr:rowOff>
    </xdr:to>
    <xdr:sp macro="" textlink="">
      <xdr:nvSpPr>
        <xdr:cNvPr id="7" name="Flowchart: Manual Operation 6">
          <a:extLst>
            <a:ext uri="{FF2B5EF4-FFF2-40B4-BE49-F238E27FC236}">
              <a16:creationId xmlns:a16="http://schemas.microsoft.com/office/drawing/2014/main" id="{00000000-0008-0000-01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Prepaid</a:t>
          </a:r>
        </a:p>
      </xdr:txBody>
    </xdr:sp>
    <xdr:clientData/>
  </xdr:twoCellAnchor>
  <xdr:twoCellAnchor>
    <xdr:from>
      <xdr:col>6</xdr:col>
      <xdr:colOff>57934</xdr:colOff>
      <xdr:row>39</xdr:row>
      <xdr:rowOff>3113</xdr:rowOff>
    </xdr:from>
    <xdr:to>
      <xdr:col>19</xdr:col>
      <xdr:colOff>42433</xdr:colOff>
      <xdr:row>39</xdr:row>
      <xdr:rowOff>123537</xdr:rowOff>
    </xdr:to>
    <xdr:sp macro="" textlink="">
      <xdr:nvSpPr>
        <xdr:cNvPr id="8" name="Flowchart: Manual Operation 6">
          <a:extLst>
            <a:ext uri="{FF2B5EF4-FFF2-40B4-BE49-F238E27FC236}">
              <a16:creationId xmlns:a16="http://schemas.microsoft.com/office/drawing/2014/main" id="{00000000-0008-0000-01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Valuation Charge</a:t>
          </a:r>
        </a:p>
      </xdr:txBody>
    </xdr:sp>
    <xdr:clientData/>
  </xdr:twoCellAnchor>
  <xdr:twoCellAnchor>
    <xdr:from>
      <xdr:col>6</xdr:col>
      <xdr:colOff>58511</xdr:colOff>
      <xdr:row>41</xdr:row>
      <xdr:rowOff>3978</xdr:rowOff>
    </xdr:from>
    <xdr:to>
      <xdr:col>19</xdr:col>
      <xdr:colOff>41855</xdr:colOff>
      <xdr:row>41</xdr:row>
      <xdr:rowOff>124402</xdr:rowOff>
    </xdr:to>
    <xdr:sp macro="" textlink="">
      <xdr:nvSpPr>
        <xdr:cNvPr id="9" name="Flowchart: Manual Operation 6">
          <a:extLst>
            <a:ext uri="{FF2B5EF4-FFF2-40B4-BE49-F238E27FC236}">
              <a16:creationId xmlns:a16="http://schemas.microsoft.com/office/drawing/2014/main" id="{00000000-0008-0000-01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Tax</a:t>
          </a:r>
        </a:p>
      </xdr:txBody>
    </xdr:sp>
    <xdr:clientData/>
  </xdr:twoCellAnchor>
  <xdr:twoCellAnchor>
    <xdr:from>
      <xdr:col>6</xdr:col>
      <xdr:colOff>58511</xdr:colOff>
      <xdr:row>43</xdr:row>
      <xdr:rowOff>2463</xdr:rowOff>
    </xdr:from>
    <xdr:to>
      <xdr:col>19</xdr:col>
      <xdr:colOff>41855</xdr:colOff>
      <xdr:row>43</xdr:row>
      <xdr:rowOff>122887</xdr:rowOff>
    </xdr:to>
    <xdr:sp macro="" textlink="">
      <xdr:nvSpPr>
        <xdr:cNvPr id="10" name="Flowchart: Manual Operation 6">
          <a:extLst>
            <a:ext uri="{FF2B5EF4-FFF2-40B4-BE49-F238E27FC236}">
              <a16:creationId xmlns:a16="http://schemas.microsoft.com/office/drawing/2014/main" id="{00000000-0008-0000-01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Total</a:t>
          </a:r>
          <a:r>
            <a:rPr lang="en-ID" sz="600" b="1" baseline="0">
              <a:solidFill>
                <a:srgbClr val="FF0000"/>
              </a:solidFill>
              <a:latin typeface="Arial Narrow" panose="020B0706020202030204" pitchFamily="34" charset="0"/>
            </a:rPr>
            <a:t> Other Charges Due Agent</a:t>
          </a:r>
          <a:endParaRPr lang="en-ID" sz="600" b="1">
            <a:solidFill>
              <a:srgbClr val="FF0000"/>
            </a:solidFill>
            <a:latin typeface="Arial Narrow" panose="020B0706020202030204" pitchFamily="34" charset="0"/>
          </a:endParaRPr>
        </a:p>
      </xdr:txBody>
    </xdr:sp>
    <xdr:clientData/>
  </xdr:twoCellAnchor>
  <xdr:twoCellAnchor>
    <xdr:from>
      <xdr:col>6</xdr:col>
      <xdr:colOff>58511</xdr:colOff>
      <xdr:row>44</xdr:row>
      <xdr:rowOff>94682</xdr:rowOff>
    </xdr:from>
    <xdr:to>
      <xdr:col>19</xdr:col>
      <xdr:colOff>41855</xdr:colOff>
      <xdr:row>45</xdr:row>
      <xdr:rowOff>121300</xdr:rowOff>
    </xdr:to>
    <xdr:sp macro="" textlink="">
      <xdr:nvSpPr>
        <xdr:cNvPr id="11" name="Flowchart: Manual Operation 6">
          <a:extLst>
            <a:ext uri="{FF2B5EF4-FFF2-40B4-BE49-F238E27FC236}">
              <a16:creationId xmlns:a16="http://schemas.microsoft.com/office/drawing/2014/main" id="{00000000-0008-0000-01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Total Other Charges Due Carrier</a:t>
          </a:r>
        </a:p>
      </xdr:txBody>
    </xdr:sp>
    <xdr:clientData/>
  </xdr:twoCellAnchor>
  <xdr:twoCellAnchor>
    <xdr:from>
      <xdr:col>0</xdr:col>
      <xdr:colOff>10160</xdr:colOff>
      <xdr:row>49</xdr:row>
      <xdr:rowOff>2969</xdr:rowOff>
    </xdr:from>
    <xdr:to>
      <xdr:col>12</xdr:col>
      <xdr:colOff>108958</xdr:colOff>
      <xdr:row>49</xdr:row>
      <xdr:rowOff>123393</xdr:rowOff>
    </xdr:to>
    <xdr:sp macro="" textlink="">
      <xdr:nvSpPr>
        <xdr:cNvPr id="12" name="Flowchart: Manual Operation 6">
          <a:extLst>
            <a:ext uri="{FF2B5EF4-FFF2-40B4-BE49-F238E27FC236}">
              <a16:creationId xmlns:a16="http://schemas.microsoft.com/office/drawing/2014/main" id="{00000000-0008-0000-01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Total Prepaid</a:t>
          </a:r>
        </a:p>
      </xdr:txBody>
    </xdr:sp>
    <xdr:clientData/>
  </xdr:twoCellAnchor>
  <xdr:twoCellAnchor>
    <xdr:from>
      <xdr:col>13</xdr:col>
      <xdr:colOff>7418</xdr:colOff>
      <xdr:row>49</xdr:row>
      <xdr:rowOff>10885</xdr:rowOff>
    </xdr:from>
    <xdr:to>
      <xdr:col>26</xdr:col>
      <xdr:colOff>107156</xdr:colOff>
      <xdr:row>49</xdr:row>
      <xdr:rowOff>131309</xdr:rowOff>
    </xdr:to>
    <xdr:sp macro="" textlink="">
      <xdr:nvSpPr>
        <xdr:cNvPr id="13" name="Flowchart: Manual Operation 6">
          <a:extLst>
            <a:ext uri="{FF2B5EF4-FFF2-40B4-BE49-F238E27FC236}">
              <a16:creationId xmlns:a16="http://schemas.microsoft.com/office/drawing/2014/main" id="{00000000-0008-0000-0100-00000D000000}"/>
            </a:ext>
          </a:extLst>
        </xdr:cNvPr>
        <xdr:cNvSpPr/>
      </xdr:nvSpPr>
      <xdr:spPr>
        <a:xfrm>
          <a:off x="1666240" y="9429115"/>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Total Collect</a:t>
          </a:r>
        </a:p>
      </xdr:txBody>
    </xdr:sp>
    <xdr:clientData/>
  </xdr:twoCellAnchor>
  <xdr:twoCellAnchor>
    <xdr:from>
      <xdr:col>0</xdr:col>
      <xdr:colOff>202</xdr:colOff>
      <xdr:row>51</xdr:row>
      <xdr:rowOff>1453</xdr:rowOff>
    </xdr:from>
    <xdr:to>
      <xdr:col>12</xdr:col>
      <xdr:colOff>99000</xdr:colOff>
      <xdr:row>51</xdr:row>
      <xdr:rowOff>121877</xdr:rowOff>
    </xdr:to>
    <xdr:sp macro="" textlink="">
      <xdr:nvSpPr>
        <xdr:cNvPr id="14" name="Flowchart: Manual Operation 6">
          <a:extLst>
            <a:ext uri="{FF2B5EF4-FFF2-40B4-BE49-F238E27FC236}">
              <a16:creationId xmlns:a16="http://schemas.microsoft.com/office/drawing/2014/main" id="{00000000-0008-0000-01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Currency Conversion Rates</a:t>
          </a:r>
        </a:p>
      </xdr:txBody>
    </xdr:sp>
    <xdr:clientData/>
  </xdr:twoCellAnchor>
  <xdr:twoCellAnchor>
    <xdr:from>
      <xdr:col>13</xdr:col>
      <xdr:colOff>7145</xdr:colOff>
      <xdr:row>51</xdr:row>
      <xdr:rowOff>2319</xdr:rowOff>
    </xdr:from>
    <xdr:to>
      <xdr:col>26</xdr:col>
      <xdr:colOff>109539</xdr:colOff>
      <xdr:row>51</xdr:row>
      <xdr:rowOff>122743</xdr:rowOff>
    </xdr:to>
    <xdr:sp macro="" textlink="">
      <xdr:nvSpPr>
        <xdr:cNvPr id="15" name="Flowchart: Manual Operation 6">
          <a:extLst>
            <a:ext uri="{FF2B5EF4-FFF2-40B4-BE49-F238E27FC236}">
              <a16:creationId xmlns:a16="http://schemas.microsoft.com/office/drawing/2014/main" id="{00000000-0008-0000-01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cc Charges in Dest. Currency</a:t>
          </a:r>
        </a:p>
      </xdr:txBody>
    </xdr:sp>
    <xdr:clientData/>
  </xdr:twoCellAnchor>
  <xdr:twoCellAnchor>
    <xdr:from>
      <xdr:col>13</xdr:col>
      <xdr:colOff>5541</xdr:colOff>
      <xdr:row>53</xdr:row>
      <xdr:rowOff>3185</xdr:rowOff>
    </xdr:from>
    <xdr:to>
      <xdr:col>26</xdr:col>
      <xdr:colOff>105497</xdr:colOff>
      <xdr:row>53</xdr:row>
      <xdr:rowOff>123609</xdr:rowOff>
    </xdr:to>
    <xdr:sp macro="" textlink="">
      <xdr:nvSpPr>
        <xdr:cNvPr id="16" name="Flowchart: Manual Operation 6">
          <a:extLst>
            <a:ext uri="{FF2B5EF4-FFF2-40B4-BE49-F238E27FC236}">
              <a16:creationId xmlns:a16="http://schemas.microsoft.com/office/drawing/2014/main" id="{00000000-0008-0000-01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Charges at Destination</a:t>
          </a:r>
        </a:p>
      </xdr:txBody>
    </xdr:sp>
    <xdr:clientData/>
  </xdr:twoCellAnchor>
  <xdr:twoCellAnchor>
    <xdr:from>
      <xdr:col>27</xdr:col>
      <xdr:colOff>13624</xdr:colOff>
      <xdr:row>53</xdr:row>
      <xdr:rowOff>1670</xdr:rowOff>
    </xdr:from>
    <xdr:to>
      <xdr:col>39</xdr:col>
      <xdr:colOff>104632</xdr:colOff>
      <xdr:row>53</xdr:row>
      <xdr:rowOff>122094</xdr:rowOff>
    </xdr:to>
    <xdr:sp macro="" textlink="">
      <xdr:nvSpPr>
        <xdr:cNvPr id="17" name="Flowchart: Manual Operation 6">
          <a:extLst>
            <a:ext uri="{FF2B5EF4-FFF2-40B4-BE49-F238E27FC236}">
              <a16:creationId xmlns:a16="http://schemas.microsoft.com/office/drawing/2014/main" id="{00000000-0008-0000-01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0000"/>
              </a:solidFill>
              <a:latin typeface="Arial Narrow" panose="020B0706020202030204" pitchFamily="34" charset="0"/>
            </a:rPr>
            <a:t>Total Collect Charges</a:t>
          </a:r>
        </a:p>
      </xdr:txBody>
    </xdr:sp>
    <xdr:clientData/>
  </xdr:twoCellAnchor>
  <xdr:twoCellAnchor>
    <xdr:from>
      <xdr:col>18</xdr:col>
      <xdr:colOff>87935</xdr:colOff>
      <xdr:row>1</xdr:row>
      <xdr:rowOff>0</xdr:rowOff>
    </xdr:from>
    <xdr:to>
      <xdr:col>33</xdr:col>
      <xdr:colOff>189</xdr:colOff>
      <xdr:row>2</xdr:row>
      <xdr:rowOff>58395</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2385060" y="285750"/>
          <a:ext cx="1826895" cy="271145"/>
        </a:xfrm>
        <a:prstGeom prst="rect">
          <a:avLst/>
        </a:prstGeom>
        <a:noFill/>
        <a:ln w="31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18</xdr:col>
      <xdr:colOff>108914</xdr:colOff>
      <xdr:row>6</xdr:row>
      <xdr:rowOff>0</xdr:rowOff>
    </xdr:from>
    <xdr:to>
      <xdr:col>32</xdr:col>
      <xdr:colOff>112700</xdr:colOff>
      <xdr:row>7</xdr:row>
      <xdr:rowOff>56528</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2406015" y="1352550"/>
          <a:ext cx="1790700" cy="269875"/>
        </a:xfrm>
        <a:prstGeom prst="rect">
          <a:avLst/>
        </a:prstGeom>
        <a:noFill/>
        <a:ln w="31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2</xdr:col>
      <xdr:colOff>28779</xdr:colOff>
      <xdr:row>23</xdr:row>
      <xdr:rowOff>0</xdr:rowOff>
    </xdr:from>
    <xdr:ext cx="6109365" cy="61722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283845"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8660</xdr:colOff>
      <xdr:row>37</xdr:row>
      <xdr:rowOff>138546</xdr:rowOff>
    </xdr:from>
    <xdr:ext cx="1369606" cy="800319"/>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3837305" y="7727950"/>
          <a:ext cx="1369695" cy="800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latin typeface="Courier New" panose="02070609020205020404" pitchFamily="49" charset="0"/>
              <a:cs typeface="Courier New" panose="02070609020205020404" pitchFamily="49" charset="0"/>
            </a:rPr>
            <a:t>FIC</a:t>
          </a:r>
          <a:r>
            <a:rPr lang="en-ID" sz="1100" baseline="0">
              <a:latin typeface="Courier New" panose="02070609020205020404" pitchFamily="49" charset="0"/>
              <a:cs typeface="Courier New" panose="02070609020205020404" pitchFamily="49" charset="0"/>
            </a:rPr>
            <a:t> IDR 533</a:t>
          </a:r>
          <a:endParaRPr lang="en-ID" sz="1100">
            <a:latin typeface="Courier New" panose="02070609020205020404" pitchFamily="49" charset="0"/>
            <a:cs typeface="Courier New" panose="02070609020205020404" pitchFamily="49" charset="0"/>
          </a:endParaRPr>
        </a:p>
      </xdr:txBody>
    </xdr:sp>
    <xdr:clientData/>
  </xdr:oneCellAnchor>
  <xdr:oneCellAnchor>
    <xdr:from>
      <xdr:col>44</xdr:col>
      <xdr:colOff>0</xdr:colOff>
      <xdr:row>28</xdr:row>
      <xdr:rowOff>0</xdr:rowOff>
    </xdr:from>
    <xdr:ext cx="2055000" cy="2185214"/>
    <xdr:sp macro="" textlink="">
      <xdr:nvSpPr>
        <xdr:cNvPr id="18" name="TextBox 17">
          <a:extLst>
            <a:ext uri="{FF2B5EF4-FFF2-40B4-BE49-F238E27FC236}">
              <a16:creationId xmlns:a16="http://schemas.microsoft.com/office/drawing/2014/main" id="{0991F0CE-39B5-4D4A-88F8-41E98B566273}"/>
            </a:ext>
          </a:extLst>
        </xdr:cNvPr>
        <xdr:cNvSpPr txBox="1"/>
      </xdr:nvSpPr>
      <xdr:spPr>
        <a:xfrm>
          <a:off x="4953000" y="5533159"/>
          <a:ext cx="2055000" cy="2185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latin typeface="Courier New" panose="02070309020205020404" pitchFamily="49" charset="0"/>
              <a:cs typeface="Courier New" panose="02070309020205020404" pitchFamily="49" charset="0"/>
            </a:rPr>
            <a:t>COURIER SHIPMENT</a:t>
          </a:r>
        </a:p>
        <a:p>
          <a:r>
            <a:rPr lang="en-ID" sz="900">
              <a:latin typeface="Courier New" panose="02070309020205020404" pitchFamily="49" charset="0"/>
              <a:cs typeface="Courier New" panose="02070309020205020404" pitchFamily="49" charset="0"/>
            </a:rPr>
            <a:t>HS CODE: 63071090</a:t>
          </a:r>
        </a:p>
        <a:p>
          <a:r>
            <a:rPr lang="en-ID" sz="900">
              <a:latin typeface="Courier New" panose="02070309020205020404" pitchFamily="49" charset="0"/>
              <a:cs typeface="Courier New" panose="02070309020205020404" pitchFamily="49" charset="0"/>
            </a:rPr>
            <a:t>HS CODE: 56012290</a:t>
          </a:r>
        </a:p>
        <a:p>
          <a:r>
            <a:rPr lang="en-ID" sz="900">
              <a:latin typeface="Courier New" panose="02070309020205020404" pitchFamily="49" charset="0"/>
              <a:cs typeface="Courier New" panose="02070309020205020404" pitchFamily="49" charset="0"/>
            </a:rPr>
            <a:t>HS CODE: 33073000</a:t>
          </a:r>
        </a:p>
        <a:p>
          <a:r>
            <a:rPr lang="en-ID" sz="900">
              <a:latin typeface="Courier New" panose="02070309020205020404" pitchFamily="49" charset="0"/>
              <a:cs typeface="Courier New" panose="02070309020205020404" pitchFamily="49" charset="0"/>
            </a:rPr>
            <a:t>HS CODE: 62171090</a:t>
          </a:r>
        </a:p>
        <a:p>
          <a:r>
            <a:rPr lang="en-ID" sz="900">
              <a:latin typeface="Courier New" panose="02070309020205020404" pitchFamily="49" charset="0"/>
              <a:cs typeface="Courier New" panose="02070309020205020404" pitchFamily="49" charset="0"/>
            </a:rPr>
            <a:t>HS CODE: 19059090</a:t>
          </a:r>
        </a:p>
        <a:p>
          <a:r>
            <a:rPr lang="en-ID" sz="900">
              <a:latin typeface="Courier New" panose="02070309020205020404" pitchFamily="49" charset="0"/>
              <a:cs typeface="Courier New" panose="02070309020205020404" pitchFamily="49" charset="0"/>
            </a:rPr>
            <a:t>DIMS</a:t>
          </a:r>
        </a:p>
        <a:p>
          <a:r>
            <a:rPr lang="en-ID" sz="900">
              <a:latin typeface="Courier New" panose="02070309020205020404" pitchFamily="49" charset="0"/>
              <a:cs typeface="Courier New" panose="02070309020205020404" pitchFamily="49" charset="0"/>
            </a:rPr>
            <a:t>73X38X32 / 1 </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77X38X26 / 1  74X34X25 / 1   80X40X30 / 1</a:t>
          </a:r>
        </a:p>
        <a:p>
          <a:r>
            <a:rPr lang="en-ID" sz="900">
              <a:latin typeface="Courier New" panose="02070309020205020404" pitchFamily="49" charset="0"/>
              <a:cs typeface="Courier New" panose="02070309020205020404" pitchFamily="49" charset="0"/>
            </a:rPr>
            <a:t>70X60X20 / 2   65X40X25 / 3</a:t>
          </a:r>
        </a:p>
        <a:p>
          <a:r>
            <a:rPr lang="en-ID" sz="900">
              <a:latin typeface="Courier New" panose="02070309020205020404" pitchFamily="49" charset="0"/>
              <a:cs typeface="Courier New" panose="02070309020205020404" pitchFamily="49" charset="0"/>
            </a:rPr>
            <a:t>70X50X20 / 1   57X40X30 / 1</a:t>
          </a:r>
        </a:p>
        <a:p>
          <a:r>
            <a:rPr lang="en-ID" sz="900">
              <a:latin typeface="Courier New" panose="02070309020205020404" pitchFamily="49" charset="0"/>
              <a:cs typeface="Courier New" panose="02070309020205020404" pitchFamily="49" charset="0"/>
            </a:rPr>
            <a:t>50X40X20 / 2</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75X40X30 / 2</a:t>
          </a:r>
        </a:p>
        <a:p>
          <a:r>
            <a:rPr lang="en-ID" sz="900">
              <a:latin typeface="Courier New" panose="02070309020205020404" pitchFamily="49" charset="0"/>
              <a:cs typeface="Courier New" panose="02070309020205020404" pitchFamily="49" charset="0"/>
            </a:rPr>
            <a:t>70X40X25 / 1   70X38X30 / 1</a:t>
          </a:r>
        </a:p>
        <a:p>
          <a:r>
            <a:rPr lang="en-ID" sz="900">
              <a:latin typeface="Courier New" panose="02070309020205020404" pitchFamily="49" charset="0"/>
              <a:cs typeface="Courier New" panose="02070309020205020404" pitchFamily="49" charset="0"/>
            </a:rPr>
            <a:t>77X38X26 / 1   40X35X23 / 1</a:t>
          </a:r>
        </a:p>
        <a:p>
          <a:r>
            <a:rPr lang="en-ID" sz="900">
              <a:latin typeface="Courier New" panose="02070309020205020404" pitchFamily="49" charset="0"/>
              <a:cs typeface="Courier New" panose="02070309020205020404" pitchFamily="49" charset="0"/>
            </a:rPr>
            <a:t>56X50X21 / 1   45X28X24 / 1</a:t>
          </a:r>
        </a:p>
        <a:p>
          <a:endParaRPr lang="en-ID" sz="900">
            <a:latin typeface="Courier New" panose="02070309020205020404" pitchFamily="49" charset="0"/>
            <a:cs typeface="Courier New" panose="02070309020205020404" pitchFamily="49"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flipV="1">
          <a:off x="3328035" y="5594985"/>
          <a:ext cx="883920" cy="461010"/>
        </a:xfrm>
        <a:prstGeom prst="line">
          <a:avLst/>
        </a:prstGeom>
        <a:ln>
          <a:solidFill>
            <a:srgbClr val="0070C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200-000003000000}"/>
            </a:ext>
          </a:extLst>
        </xdr:cNvPr>
        <xdr:cNvSpPr/>
      </xdr:nvSpPr>
      <xdr:spPr>
        <a:xfrm>
          <a:off x="1003935" y="4111625"/>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200-000004000000}"/>
            </a:ext>
          </a:extLst>
        </xdr:cNvPr>
        <xdr:cNvSpPr/>
      </xdr:nvSpPr>
      <xdr:spPr>
        <a:xfrm>
          <a:off x="2607945" y="4523105"/>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lumMod val="85000"/>
          </a:schemeClr>
        </a:solid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For Carrier Use Only</a:t>
          </a:r>
        </a:p>
      </xdr:txBody>
    </xdr:sp>
    <xdr:clientData/>
  </xdr:twoCellAnchor>
  <xdr:twoCellAnchor>
    <xdr:from>
      <xdr:col>6</xdr:col>
      <xdr:colOff>58511</xdr:colOff>
      <xdr:row>36</xdr:row>
      <xdr:rowOff>190085</xdr:rowOff>
    </xdr:from>
    <xdr:to>
      <xdr:col>19</xdr:col>
      <xdr:colOff>41855</xdr:colOff>
      <xdr:row>37</xdr:row>
      <xdr:rowOff>120009</xdr:rowOff>
    </xdr:to>
    <xdr:sp macro="" textlink="">
      <xdr:nvSpPr>
        <xdr:cNvPr id="5" name="Flowchart: Manual Operation 6">
          <a:extLst>
            <a:ext uri="{FF2B5EF4-FFF2-40B4-BE49-F238E27FC236}">
              <a16:creationId xmlns:a16="http://schemas.microsoft.com/office/drawing/2014/main" id="{00000000-0008-0000-0200-000005000000}"/>
            </a:ext>
          </a:extLst>
        </xdr:cNvPr>
        <xdr:cNvSpPr/>
      </xdr:nvSpPr>
      <xdr:spPr>
        <a:xfrm>
          <a:off x="824230" y="7312660"/>
          <a:ext cx="1642110" cy="14287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Weight Charges</a:t>
          </a:r>
        </a:p>
      </xdr:txBody>
    </xdr:sp>
    <xdr:clientData/>
  </xdr:twoCellAnchor>
  <xdr:twoCellAnchor>
    <xdr:from>
      <xdr:col>19</xdr:col>
      <xdr:colOff>57728</xdr:colOff>
      <xdr:row>37</xdr:row>
      <xdr:rowOff>1028</xdr:rowOff>
    </xdr:from>
    <xdr:to>
      <xdr:col>26</xdr:col>
      <xdr:colOff>111920</xdr:colOff>
      <xdr:row>37</xdr:row>
      <xdr:rowOff>123328</xdr:rowOff>
    </xdr:to>
    <xdr:sp macro="" textlink="">
      <xdr:nvSpPr>
        <xdr:cNvPr id="6" name="Flowchart: Manual Operation 6">
          <a:extLst>
            <a:ext uri="{FF2B5EF4-FFF2-40B4-BE49-F238E27FC236}">
              <a16:creationId xmlns:a16="http://schemas.microsoft.com/office/drawing/2014/main" id="{00000000-0008-0000-0200-000006000000}"/>
            </a:ext>
          </a:extLst>
        </xdr:cNvPr>
        <xdr:cNvSpPr/>
      </xdr:nvSpPr>
      <xdr:spPr>
        <a:xfrm>
          <a:off x="2482215" y="7336790"/>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Collect</a:t>
          </a:r>
        </a:p>
      </xdr:txBody>
    </xdr:sp>
    <xdr:clientData/>
  </xdr:twoCellAnchor>
  <xdr:twoCellAnchor>
    <xdr:from>
      <xdr:col>0</xdr:col>
      <xdr:colOff>0</xdr:colOff>
      <xdr:row>37</xdr:row>
      <xdr:rowOff>2111</xdr:rowOff>
    </xdr:from>
    <xdr:to>
      <xdr:col>6</xdr:col>
      <xdr:colOff>50512</xdr:colOff>
      <xdr:row>37</xdr:row>
      <xdr:rowOff>112721</xdr:rowOff>
    </xdr:to>
    <xdr:sp macro="" textlink="">
      <xdr:nvSpPr>
        <xdr:cNvPr id="7" name="Flowchart: Manual Operation 6">
          <a:extLst>
            <a:ext uri="{FF2B5EF4-FFF2-40B4-BE49-F238E27FC236}">
              <a16:creationId xmlns:a16="http://schemas.microsoft.com/office/drawing/2014/main" id="{00000000-0008-0000-0200-000007000000}"/>
            </a:ext>
          </a:extLst>
        </xdr:cNvPr>
        <xdr:cNvSpPr/>
      </xdr:nvSpPr>
      <xdr:spPr>
        <a:xfrm>
          <a:off x="0" y="7338060"/>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Prepaid</a:t>
          </a:r>
        </a:p>
      </xdr:txBody>
    </xdr:sp>
    <xdr:clientData/>
  </xdr:twoCellAnchor>
  <xdr:twoCellAnchor>
    <xdr:from>
      <xdr:col>6</xdr:col>
      <xdr:colOff>57934</xdr:colOff>
      <xdr:row>39</xdr:row>
      <xdr:rowOff>3113</xdr:rowOff>
    </xdr:from>
    <xdr:to>
      <xdr:col>19</xdr:col>
      <xdr:colOff>42433</xdr:colOff>
      <xdr:row>39</xdr:row>
      <xdr:rowOff>123537</xdr:rowOff>
    </xdr:to>
    <xdr:sp macro="" textlink="">
      <xdr:nvSpPr>
        <xdr:cNvPr id="8" name="Flowchart: Manual Operation 6">
          <a:extLst>
            <a:ext uri="{FF2B5EF4-FFF2-40B4-BE49-F238E27FC236}">
              <a16:creationId xmlns:a16="http://schemas.microsoft.com/office/drawing/2014/main" id="{00000000-0008-0000-0200-000008000000}"/>
            </a:ext>
          </a:extLst>
        </xdr:cNvPr>
        <xdr:cNvSpPr/>
      </xdr:nvSpPr>
      <xdr:spPr>
        <a:xfrm>
          <a:off x="823595" y="7647305"/>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Valuation Charge</a:t>
          </a:r>
        </a:p>
      </xdr:txBody>
    </xdr:sp>
    <xdr:clientData/>
  </xdr:twoCellAnchor>
  <xdr:twoCellAnchor>
    <xdr:from>
      <xdr:col>6</xdr:col>
      <xdr:colOff>58511</xdr:colOff>
      <xdr:row>41</xdr:row>
      <xdr:rowOff>3978</xdr:rowOff>
    </xdr:from>
    <xdr:to>
      <xdr:col>19</xdr:col>
      <xdr:colOff>41855</xdr:colOff>
      <xdr:row>41</xdr:row>
      <xdr:rowOff>124402</xdr:rowOff>
    </xdr:to>
    <xdr:sp macro="" textlink="">
      <xdr:nvSpPr>
        <xdr:cNvPr id="9" name="Flowchart: Manual Operation 6">
          <a:extLst>
            <a:ext uri="{FF2B5EF4-FFF2-40B4-BE49-F238E27FC236}">
              <a16:creationId xmlns:a16="http://schemas.microsoft.com/office/drawing/2014/main" id="{00000000-0008-0000-0200-000009000000}"/>
            </a:ext>
          </a:extLst>
        </xdr:cNvPr>
        <xdr:cNvSpPr/>
      </xdr:nvSpPr>
      <xdr:spPr>
        <a:xfrm>
          <a:off x="824230" y="7957185"/>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Tax</a:t>
          </a:r>
        </a:p>
      </xdr:txBody>
    </xdr:sp>
    <xdr:clientData/>
  </xdr:twoCellAnchor>
  <xdr:twoCellAnchor>
    <xdr:from>
      <xdr:col>6</xdr:col>
      <xdr:colOff>58511</xdr:colOff>
      <xdr:row>43</xdr:row>
      <xdr:rowOff>2463</xdr:rowOff>
    </xdr:from>
    <xdr:to>
      <xdr:col>19</xdr:col>
      <xdr:colOff>41855</xdr:colOff>
      <xdr:row>43</xdr:row>
      <xdr:rowOff>122887</xdr:rowOff>
    </xdr:to>
    <xdr:sp macro="" textlink="">
      <xdr:nvSpPr>
        <xdr:cNvPr id="10" name="Flowchart: Manual Operation 6">
          <a:extLst>
            <a:ext uri="{FF2B5EF4-FFF2-40B4-BE49-F238E27FC236}">
              <a16:creationId xmlns:a16="http://schemas.microsoft.com/office/drawing/2014/main" id="{00000000-0008-0000-0200-00000A000000}"/>
            </a:ext>
          </a:extLst>
        </xdr:cNvPr>
        <xdr:cNvSpPr/>
      </xdr:nvSpPr>
      <xdr:spPr>
        <a:xfrm>
          <a:off x="824230" y="8263890"/>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Total</a:t>
          </a:r>
          <a:r>
            <a:rPr lang="en-ID" sz="600" b="1" baseline="0">
              <a:solidFill>
                <a:srgbClr val="0070C0"/>
              </a:solidFill>
              <a:latin typeface="Arial Narrow" panose="020B0706020202030204" pitchFamily="34" charset="0"/>
            </a:rPr>
            <a:t> Other Charges Due Agent</a:t>
          </a:r>
          <a:endParaRPr lang="en-ID" sz="600" b="1">
            <a:solidFill>
              <a:srgbClr val="0070C0"/>
            </a:solidFill>
            <a:latin typeface="Arial Narrow" panose="020B0706020202030204" pitchFamily="34" charset="0"/>
          </a:endParaRPr>
        </a:p>
      </xdr:txBody>
    </xdr:sp>
    <xdr:clientData/>
  </xdr:twoCellAnchor>
  <xdr:twoCellAnchor>
    <xdr:from>
      <xdr:col>6</xdr:col>
      <xdr:colOff>58511</xdr:colOff>
      <xdr:row>44</xdr:row>
      <xdr:rowOff>94682</xdr:rowOff>
    </xdr:from>
    <xdr:to>
      <xdr:col>19</xdr:col>
      <xdr:colOff>41855</xdr:colOff>
      <xdr:row>45</xdr:row>
      <xdr:rowOff>121300</xdr:rowOff>
    </xdr:to>
    <xdr:sp macro="" textlink="">
      <xdr:nvSpPr>
        <xdr:cNvPr id="11" name="Flowchart: Manual Operation 6">
          <a:extLst>
            <a:ext uri="{FF2B5EF4-FFF2-40B4-BE49-F238E27FC236}">
              <a16:creationId xmlns:a16="http://schemas.microsoft.com/office/drawing/2014/main" id="{00000000-0008-0000-0200-00000B000000}"/>
            </a:ext>
          </a:extLst>
        </xdr:cNvPr>
        <xdr:cNvSpPr/>
      </xdr:nvSpPr>
      <xdr:spPr>
        <a:xfrm>
          <a:off x="824230" y="8547100"/>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Total Other Charges Due Carrier</a:t>
          </a:r>
        </a:p>
      </xdr:txBody>
    </xdr:sp>
    <xdr:clientData/>
  </xdr:twoCellAnchor>
  <xdr:twoCellAnchor>
    <xdr:from>
      <xdr:col>0</xdr:col>
      <xdr:colOff>10160</xdr:colOff>
      <xdr:row>49</xdr:row>
      <xdr:rowOff>2969</xdr:rowOff>
    </xdr:from>
    <xdr:to>
      <xdr:col>12</xdr:col>
      <xdr:colOff>108958</xdr:colOff>
      <xdr:row>49</xdr:row>
      <xdr:rowOff>123393</xdr:rowOff>
    </xdr:to>
    <xdr:sp macro="" textlink="">
      <xdr:nvSpPr>
        <xdr:cNvPr id="12" name="Flowchart: Manual Operation 6">
          <a:extLst>
            <a:ext uri="{FF2B5EF4-FFF2-40B4-BE49-F238E27FC236}">
              <a16:creationId xmlns:a16="http://schemas.microsoft.com/office/drawing/2014/main" id="{00000000-0008-0000-0200-00000C000000}"/>
            </a:ext>
          </a:extLst>
        </xdr:cNvPr>
        <xdr:cNvSpPr/>
      </xdr:nvSpPr>
      <xdr:spPr>
        <a:xfrm>
          <a:off x="10160" y="9167495"/>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Total Prepaid</a:t>
          </a:r>
        </a:p>
      </xdr:txBody>
    </xdr:sp>
    <xdr:clientData/>
  </xdr:twoCellAnchor>
  <xdr:twoCellAnchor>
    <xdr:from>
      <xdr:col>13</xdr:col>
      <xdr:colOff>7418</xdr:colOff>
      <xdr:row>49</xdr:row>
      <xdr:rowOff>1454</xdr:rowOff>
    </xdr:from>
    <xdr:to>
      <xdr:col>26</xdr:col>
      <xdr:colOff>107156</xdr:colOff>
      <xdr:row>49</xdr:row>
      <xdr:rowOff>121878</xdr:rowOff>
    </xdr:to>
    <xdr:sp macro="" textlink="">
      <xdr:nvSpPr>
        <xdr:cNvPr id="13" name="Flowchart: Manual Operation 6">
          <a:extLst>
            <a:ext uri="{FF2B5EF4-FFF2-40B4-BE49-F238E27FC236}">
              <a16:creationId xmlns:a16="http://schemas.microsoft.com/office/drawing/2014/main" id="{00000000-0008-0000-0200-00000D000000}"/>
            </a:ext>
          </a:extLst>
        </xdr:cNvPr>
        <xdr:cNvSpPr/>
      </xdr:nvSpPr>
      <xdr:spPr>
        <a:xfrm>
          <a:off x="1666240" y="9166225"/>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Total Collect</a:t>
          </a:r>
        </a:p>
      </xdr:txBody>
    </xdr:sp>
    <xdr:clientData/>
  </xdr:twoCellAnchor>
  <xdr:twoCellAnchor>
    <xdr:from>
      <xdr:col>0</xdr:col>
      <xdr:colOff>202</xdr:colOff>
      <xdr:row>51</xdr:row>
      <xdr:rowOff>1453</xdr:rowOff>
    </xdr:from>
    <xdr:to>
      <xdr:col>12</xdr:col>
      <xdr:colOff>99000</xdr:colOff>
      <xdr:row>51</xdr:row>
      <xdr:rowOff>121877</xdr:rowOff>
    </xdr:to>
    <xdr:sp macro="" textlink="">
      <xdr:nvSpPr>
        <xdr:cNvPr id="14" name="Flowchart: Manual Operation 6">
          <a:extLst>
            <a:ext uri="{FF2B5EF4-FFF2-40B4-BE49-F238E27FC236}">
              <a16:creationId xmlns:a16="http://schemas.microsoft.com/office/drawing/2014/main" id="{00000000-0008-0000-0200-00000E000000}"/>
            </a:ext>
          </a:extLst>
        </xdr:cNvPr>
        <xdr:cNvSpPr/>
      </xdr:nvSpPr>
      <xdr:spPr>
        <a:xfrm>
          <a:off x="0" y="9474835"/>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Currency Conversion Rates</a:t>
          </a:r>
        </a:p>
      </xdr:txBody>
    </xdr:sp>
    <xdr:clientData/>
  </xdr:twoCellAnchor>
  <xdr:twoCellAnchor>
    <xdr:from>
      <xdr:col>13</xdr:col>
      <xdr:colOff>7145</xdr:colOff>
      <xdr:row>51</xdr:row>
      <xdr:rowOff>2319</xdr:rowOff>
    </xdr:from>
    <xdr:to>
      <xdr:col>26</xdr:col>
      <xdr:colOff>109539</xdr:colOff>
      <xdr:row>51</xdr:row>
      <xdr:rowOff>122743</xdr:rowOff>
    </xdr:to>
    <xdr:sp macro="" textlink="">
      <xdr:nvSpPr>
        <xdr:cNvPr id="15" name="Flowchart: Manual Operation 6">
          <a:extLst>
            <a:ext uri="{FF2B5EF4-FFF2-40B4-BE49-F238E27FC236}">
              <a16:creationId xmlns:a16="http://schemas.microsoft.com/office/drawing/2014/main" id="{00000000-0008-0000-0200-00000F000000}"/>
            </a:ext>
          </a:extLst>
        </xdr:cNvPr>
        <xdr:cNvSpPr/>
      </xdr:nvSpPr>
      <xdr:spPr>
        <a:xfrm>
          <a:off x="1666240" y="9475470"/>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cc Charges in Dest. Currency</a:t>
          </a:r>
        </a:p>
      </xdr:txBody>
    </xdr:sp>
    <xdr:clientData/>
  </xdr:twoCellAnchor>
  <xdr:twoCellAnchor>
    <xdr:from>
      <xdr:col>13</xdr:col>
      <xdr:colOff>5541</xdr:colOff>
      <xdr:row>53</xdr:row>
      <xdr:rowOff>3185</xdr:rowOff>
    </xdr:from>
    <xdr:to>
      <xdr:col>26</xdr:col>
      <xdr:colOff>105497</xdr:colOff>
      <xdr:row>53</xdr:row>
      <xdr:rowOff>123609</xdr:rowOff>
    </xdr:to>
    <xdr:sp macro="" textlink="">
      <xdr:nvSpPr>
        <xdr:cNvPr id="16" name="Flowchart: Manual Operation 6">
          <a:extLst>
            <a:ext uri="{FF2B5EF4-FFF2-40B4-BE49-F238E27FC236}">
              <a16:creationId xmlns:a16="http://schemas.microsoft.com/office/drawing/2014/main" id="{00000000-0008-0000-0200-000010000000}"/>
            </a:ext>
          </a:extLst>
        </xdr:cNvPr>
        <xdr:cNvSpPr/>
      </xdr:nvSpPr>
      <xdr:spPr>
        <a:xfrm>
          <a:off x="1664335" y="9785350"/>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Charges at Destination</a:t>
          </a:r>
        </a:p>
      </xdr:txBody>
    </xdr:sp>
    <xdr:clientData/>
  </xdr:twoCellAnchor>
  <xdr:twoCellAnchor>
    <xdr:from>
      <xdr:col>27</xdr:col>
      <xdr:colOff>13624</xdr:colOff>
      <xdr:row>53</xdr:row>
      <xdr:rowOff>1670</xdr:rowOff>
    </xdr:from>
    <xdr:to>
      <xdr:col>39</xdr:col>
      <xdr:colOff>104632</xdr:colOff>
      <xdr:row>53</xdr:row>
      <xdr:rowOff>122094</xdr:rowOff>
    </xdr:to>
    <xdr:sp macro="" textlink="">
      <xdr:nvSpPr>
        <xdr:cNvPr id="17" name="Flowchart: Manual Operation 6">
          <a:extLst>
            <a:ext uri="{FF2B5EF4-FFF2-40B4-BE49-F238E27FC236}">
              <a16:creationId xmlns:a16="http://schemas.microsoft.com/office/drawing/2014/main" id="{00000000-0008-0000-0200-000011000000}"/>
            </a:ext>
          </a:extLst>
        </xdr:cNvPr>
        <xdr:cNvSpPr/>
      </xdr:nvSpPr>
      <xdr:spPr>
        <a:xfrm>
          <a:off x="3459480" y="9783445"/>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0070C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0070C0"/>
              </a:solidFill>
              <a:latin typeface="Arial Narrow" panose="020B0706020202030204" pitchFamily="34" charset="0"/>
            </a:rPr>
            <a:t>Total Collect Charges</a:t>
          </a:r>
        </a:p>
      </xdr:txBody>
    </xdr:sp>
    <xdr:clientData/>
  </xdr:twoCellAnchor>
  <xdr:twoCellAnchor>
    <xdr:from>
      <xdr:col>18</xdr:col>
      <xdr:colOff>111469</xdr:colOff>
      <xdr:row>1</xdr:row>
      <xdr:rowOff>0</xdr:rowOff>
    </xdr:from>
    <xdr:to>
      <xdr:col>32</xdr:col>
      <xdr:colOff>113764</xdr:colOff>
      <xdr:row>2</xdr:row>
      <xdr:rowOff>54065</xdr:rowOff>
    </xdr:to>
    <xdr:sp macro="" textlink="">
      <xdr:nvSpPr>
        <xdr:cNvPr id="19" name="Rectangle 18">
          <a:extLst>
            <a:ext uri="{FF2B5EF4-FFF2-40B4-BE49-F238E27FC236}">
              <a16:creationId xmlns:a16="http://schemas.microsoft.com/office/drawing/2014/main" id="{00000000-0008-0000-0200-000013000000}"/>
            </a:ext>
          </a:extLst>
        </xdr:cNvPr>
        <xdr:cNvSpPr/>
      </xdr:nvSpPr>
      <xdr:spPr>
        <a:xfrm>
          <a:off x="2408555" y="285750"/>
          <a:ext cx="1789430" cy="267335"/>
        </a:xfrm>
        <a:prstGeom prst="rect">
          <a:avLst/>
        </a:prstGeom>
        <a:noFill/>
        <a:ln w="63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18</xdr:col>
      <xdr:colOff>111469</xdr:colOff>
      <xdr:row>6</xdr:row>
      <xdr:rowOff>0</xdr:rowOff>
    </xdr:from>
    <xdr:to>
      <xdr:col>32</xdr:col>
      <xdr:colOff>113764</xdr:colOff>
      <xdr:row>7</xdr:row>
      <xdr:rowOff>54065</xdr:rowOff>
    </xdr:to>
    <xdr:sp macro="" textlink="">
      <xdr:nvSpPr>
        <xdr:cNvPr id="21" name="Rectangle 20">
          <a:extLst>
            <a:ext uri="{FF2B5EF4-FFF2-40B4-BE49-F238E27FC236}">
              <a16:creationId xmlns:a16="http://schemas.microsoft.com/office/drawing/2014/main" id="{00000000-0008-0000-0200-000015000000}"/>
            </a:ext>
          </a:extLst>
        </xdr:cNvPr>
        <xdr:cNvSpPr/>
      </xdr:nvSpPr>
      <xdr:spPr>
        <a:xfrm>
          <a:off x="2408555" y="1335405"/>
          <a:ext cx="1789430" cy="267335"/>
        </a:xfrm>
        <a:prstGeom prst="rect">
          <a:avLst/>
        </a:prstGeom>
        <a:noFill/>
        <a:ln w="6350">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2</xdr:col>
      <xdr:colOff>21243</xdr:colOff>
      <xdr:row>23</xdr:row>
      <xdr:rowOff>0</xdr:rowOff>
    </xdr:from>
    <xdr:ext cx="6109365" cy="594360"/>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276225" y="4958715"/>
          <a:ext cx="6109335" cy="59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29</xdr:col>
      <xdr:colOff>87253</xdr:colOff>
      <xdr:row>37</xdr:row>
      <xdr:rowOff>130878</xdr:rowOff>
    </xdr:from>
    <xdr:ext cx="1369606" cy="800319"/>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3788410" y="7466965"/>
          <a:ext cx="1369695" cy="800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latin typeface="Courier New" panose="02070609020205020404" pitchFamily="49" charset="0"/>
              <a:cs typeface="Courier New" panose="02070609020205020404" pitchFamily="49" charset="0"/>
            </a:rPr>
            <a:t>FCC IDR 533</a:t>
          </a:r>
        </a:p>
      </xdr:txBody>
    </xdr:sp>
    <xdr:clientData/>
  </xdr:oneCellAnchor>
  <xdr:oneCellAnchor>
    <xdr:from>
      <xdr:col>44</xdr:col>
      <xdr:colOff>0</xdr:colOff>
      <xdr:row>28</xdr:row>
      <xdr:rowOff>0</xdr:rowOff>
    </xdr:from>
    <xdr:ext cx="2055000" cy="2185214"/>
    <xdr:sp macro="" textlink="">
      <xdr:nvSpPr>
        <xdr:cNvPr id="23" name="TextBox 22">
          <a:extLst>
            <a:ext uri="{FF2B5EF4-FFF2-40B4-BE49-F238E27FC236}">
              <a16:creationId xmlns:a16="http://schemas.microsoft.com/office/drawing/2014/main" id="{A41EA2A4-0EAF-4194-B13D-9C8AECFA43DB}"/>
            </a:ext>
          </a:extLst>
        </xdr:cNvPr>
        <xdr:cNvSpPr txBox="1"/>
      </xdr:nvSpPr>
      <xdr:spPr>
        <a:xfrm>
          <a:off x="5118779" y="5518683"/>
          <a:ext cx="2055000" cy="2185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latin typeface="Courier New" panose="02070309020205020404" pitchFamily="49" charset="0"/>
              <a:cs typeface="Courier New" panose="02070309020205020404" pitchFamily="49" charset="0"/>
            </a:rPr>
            <a:t>COURIER SHIPMENT</a:t>
          </a:r>
        </a:p>
        <a:p>
          <a:r>
            <a:rPr lang="en-ID" sz="900">
              <a:latin typeface="Courier New" panose="02070309020205020404" pitchFamily="49" charset="0"/>
              <a:cs typeface="Courier New" panose="02070309020205020404" pitchFamily="49" charset="0"/>
            </a:rPr>
            <a:t>HS CODE: 63071090</a:t>
          </a:r>
        </a:p>
        <a:p>
          <a:r>
            <a:rPr lang="en-ID" sz="900">
              <a:latin typeface="Courier New" panose="02070309020205020404" pitchFamily="49" charset="0"/>
              <a:cs typeface="Courier New" panose="02070309020205020404" pitchFamily="49" charset="0"/>
            </a:rPr>
            <a:t>HS CODE: 56012290</a:t>
          </a:r>
        </a:p>
        <a:p>
          <a:r>
            <a:rPr lang="en-ID" sz="900">
              <a:latin typeface="Courier New" panose="02070309020205020404" pitchFamily="49" charset="0"/>
              <a:cs typeface="Courier New" panose="02070309020205020404" pitchFamily="49" charset="0"/>
            </a:rPr>
            <a:t>HS CODE: 33073000</a:t>
          </a:r>
        </a:p>
        <a:p>
          <a:r>
            <a:rPr lang="en-ID" sz="900">
              <a:latin typeface="Courier New" panose="02070309020205020404" pitchFamily="49" charset="0"/>
              <a:cs typeface="Courier New" panose="02070309020205020404" pitchFamily="49" charset="0"/>
            </a:rPr>
            <a:t>HS CODE: 62171090</a:t>
          </a:r>
        </a:p>
        <a:p>
          <a:r>
            <a:rPr lang="en-ID" sz="900">
              <a:latin typeface="Courier New" panose="02070309020205020404" pitchFamily="49" charset="0"/>
              <a:cs typeface="Courier New" panose="02070309020205020404" pitchFamily="49" charset="0"/>
            </a:rPr>
            <a:t>HS CODE: 19059090</a:t>
          </a:r>
        </a:p>
        <a:p>
          <a:r>
            <a:rPr lang="en-ID" sz="900">
              <a:latin typeface="Courier New" panose="02070309020205020404" pitchFamily="49" charset="0"/>
              <a:cs typeface="Courier New" panose="02070309020205020404" pitchFamily="49" charset="0"/>
            </a:rPr>
            <a:t>DIMS</a:t>
          </a:r>
        </a:p>
        <a:p>
          <a:r>
            <a:rPr lang="en-ID" sz="900">
              <a:latin typeface="Courier New" panose="02070309020205020404" pitchFamily="49" charset="0"/>
              <a:cs typeface="Courier New" panose="02070309020205020404" pitchFamily="49" charset="0"/>
            </a:rPr>
            <a:t>73X38X32 / 1 </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77X38X26 / 1  74X34X25 / 1   80X40X30 / 1</a:t>
          </a:r>
        </a:p>
        <a:p>
          <a:r>
            <a:rPr lang="en-ID" sz="900">
              <a:latin typeface="Courier New" panose="02070309020205020404" pitchFamily="49" charset="0"/>
              <a:cs typeface="Courier New" panose="02070309020205020404" pitchFamily="49" charset="0"/>
            </a:rPr>
            <a:t>70X60X20 / 2   65X40X25 / 3</a:t>
          </a:r>
        </a:p>
        <a:p>
          <a:r>
            <a:rPr lang="en-ID" sz="900">
              <a:latin typeface="Courier New" panose="02070309020205020404" pitchFamily="49" charset="0"/>
              <a:cs typeface="Courier New" panose="02070309020205020404" pitchFamily="49" charset="0"/>
            </a:rPr>
            <a:t>70X50X20 / 1   57X40X30 / 1</a:t>
          </a:r>
        </a:p>
        <a:p>
          <a:r>
            <a:rPr lang="en-ID" sz="900">
              <a:latin typeface="Courier New" panose="02070309020205020404" pitchFamily="49" charset="0"/>
              <a:cs typeface="Courier New" panose="02070309020205020404" pitchFamily="49" charset="0"/>
            </a:rPr>
            <a:t>50X40X20 / 2</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75X40X30 / 2</a:t>
          </a:r>
        </a:p>
        <a:p>
          <a:r>
            <a:rPr lang="en-ID" sz="900">
              <a:latin typeface="Courier New" panose="02070309020205020404" pitchFamily="49" charset="0"/>
              <a:cs typeface="Courier New" panose="02070309020205020404" pitchFamily="49" charset="0"/>
            </a:rPr>
            <a:t>70X40X25 / 1   70X38X30 / 1</a:t>
          </a:r>
        </a:p>
        <a:p>
          <a:r>
            <a:rPr lang="en-ID" sz="900">
              <a:latin typeface="Courier New" panose="02070309020205020404" pitchFamily="49" charset="0"/>
              <a:cs typeface="Courier New" panose="02070309020205020404" pitchFamily="49" charset="0"/>
            </a:rPr>
            <a:t>77X38X26 / 1   40X35X23 / 1</a:t>
          </a:r>
        </a:p>
        <a:p>
          <a:r>
            <a:rPr lang="en-ID" sz="900">
              <a:latin typeface="Courier New" panose="02070309020205020404" pitchFamily="49" charset="0"/>
              <a:cs typeface="Courier New" panose="02070309020205020404" pitchFamily="49" charset="0"/>
            </a:rPr>
            <a:t>56X50X21 / 1   45X28X24 / 1</a:t>
          </a:r>
        </a:p>
        <a:p>
          <a:endParaRPr lang="en-ID" sz="900">
            <a:latin typeface="Courier New" panose="02070309020205020404" pitchFamily="49" charset="0"/>
            <a:cs typeface="Courier New" panose="02070309020205020404" pitchFamily="49"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300-000002000000}"/>
            </a:ext>
          </a:extLst>
        </xdr:cNvPr>
        <xdr:cNvCxnSpPr/>
      </xdr:nvCxnSpPr>
      <xdr:spPr>
        <a:xfrm flipV="1">
          <a:off x="3328035" y="5634990"/>
          <a:ext cx="883920" cy="461010"/>
        </a:xfrm>
        <a:prstGeom prst="line">
          <a:avLst/>
        </a:prstGeom>
        <a:ln>
          <a:solidFill>
            <a:srgbClr val="FFFF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3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Routing and Destination</a:t>
          </a:r>
        </a:p>
      </xdr:txBody>
    </xdr:sp>
    <xdr:clientData/>
  </xdr:twoCellAnchor>
  <xdr:twoCellAnchor>
    <xdr:from>
      <xdr:col>20</xdr:col>
      <xdr:colOff>47616</xdr:colOff>
      <xdr:row>21</xdr:row>
      <xdr:rowOff>1084</xdr:rowOff>
    </xdr:from>
    <xdr:to>
      <xdr:col>29</xdr:col>
      <xdr:colOff>38323</xdr:colOff>
      <xdr:row>22</xdr:row>
      <xdr:rowOff>548</xdr:rowOff>
    </xdr:to>
    <xdr:sp macro="" textlink="">
      <xdr:nvSpPr>
        <xdr:cNvPr id="4" name="Flowchart: Manual Operation 6">
          <a:extLst>
            <a:ext uri="{FF2B5EF4-FFF2-40B4-BE49-F238E27FC236}">
              <a16:creationId xmlns:a16="http://schemas.microsoft.com/office/drawing/2014/main" id="{00000000-0008-0000-0300-000004000000}"/>
            </a:ext>
          </a:extLst>
        </xdr:cNvPr>
        <xdr:cNvSpPr/>
      </xdr:nvSpPr>
      <xdr:spPr>
        <a:xfrm>
          <a:off x="2599690"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For Carrier Use Only</a:t>
          </a:r>
        </a:p>
      </xdr:txBody>
    </xdr:sp>
    <xdr:clientData/>
  </xdr:twoCellAnchor>
  <xdr:twoCellAnchor>
    <xdr:from>
      <xdr:col>6</xdr:col>
      <xdr:colOff>58511</xdr:colOff>
      <xdr:row>37</xdr:row>
      <xdr:rowOff>0</xdr:rowOff>
    </xdr:from>
    <xdr:to>
      <xdr:col>19</xdr:col>
      <xdr:colOff>41855</xdr:colOff>
      <xdr:row>37</xdr:row>
      <xdr:rowOff>120009</xdr:rowOff>
    </xdr:to>
    <xdr:sp macro="" textlink="">
      <xdr:nvSpPr>
        <xdr:cNvPr id="5" name="Flowchart: Manual Operation 6">
          <a:extLst>
            <a:ext uri="{FF2B5EF4-FFF2-40B4-BE49-F238E27FC236}">
              <a16:creationId xmlns:a16="http://schemas.microsoft.com/office/drawing/2014/main" id="{00000000-0008-0000-0300-000005000000}"/>
            </a:ext>
          </a:extLst>
        </xdr:cNvPr>
        <xdr:cNvSpPr/>
      </xdr:nvSpPr>
      <xdr:spPr>
        <a:xfrm>
          <a:off x="824230" y="7589520"/>
          <a:ext cx="1642110" cy="11938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Weight Charges</a:t>
          </a:r>
        </a:p>
      </xdr:txBody>
    </xdr:sp>
    <xdr:clientData/>
  </xdr:twoCellAnchor>
  <xdr:twoCellAnchor>
    <xdr:from>
      <xdr:col>19</xdr:col>
      <xdr:colOff>57728</xdr:colOff>
      <xdr:row>37</xdr:row>
      <xdr:rowOff>1028</xdr:rowOff>
    </xdr:from>
    <xdr:to>
      <xdr:col>26</xdr:col>
      <xdr:colOff>111920</xdr:colOff>
      <xdr:row>37</xdr:row>
      <xdr:rowOff>123328</xdr:rowOff>
    </xdr:to>
    <xdr:sp macro="" textlink="">
      <xdr:nvSpPr>
        <xdr:cNvPr id="6" name="Flowchart: Manual Operation 6">
          <a:extLst>
            <a:ext uri="{FF2B5EF4-FFF2-40B4-BE49-F238E27FC236}">
              <a16:creationId xmlns:a16="http://schemas.microsoft.com/office/drawing/2014/main" id="{00000000-0008-0000-03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Collect</a:t>
          </a:r>
        </a:p>
      </xdr:txBody>
    </xdr:sp>
    <xdr:clientData/>
  </xdr:twoCellAnchor>
  <xdr:twoCellAnchor>
    <xdr:from>
      <xdr:col>0</xdr:col>
      <xdr:colOff>0</xdr:colOff>
      <xdr:row>37</xdr:row>
      <xdr:rowOff>2111</xdr:rowOff>
    </xdr:from>
    <xdr:to>
      <xdr:col>6</xdr:col>
      <xdr:colOff>50512</xdr:colOff>
      <xdr:row>37</xdr:row>
      <xdr:rowOff>112721</xdr:rowOff>
    </xdr:to>
    <xdr:sp macro="" textlink="">
      <xdr:nvSpPr>
        <xdr:cNvPr id="7" name="Flowchart: Manual Operation 6">
          <a:extLst>
            <a:ext uri="{FF2B5EF4-FFF2-40B4-BE49-F238E27FC236}">
              <a16:creationId xmlns:a16="http://schemas.microsoft.com/office/drawing/2014/main" id="{00000000-0008-0000-03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Prepaid</a:t>
          </a:r>
        </a:p>
      </xdr:txBody>
    </xdr:sp>
    <xdr:clientData/>
  </xdr:twoCellAnchor>
  <xdr:twoCellAnchor>
    <xdr:from>
      <xdr:col>6</xdr:col>
      <xdr:colOff>57934</xdr:colOff>
      <xdr:row>39</xdr:row>
      <xdr:rowOff>3113</xdr:rowOff>
    </xdr:from>
    <xdr:to>
      <xdr:col>19</xdr:col>
      <xdr:colOff>42433</xdr:colOff>
      <xdr:row>39</xdr:row>
      <xdr:rowOff>123537</xdr:rowOff>
    </xdr:to>
    <xdr:sp macro="" textlink="">
      <xdr:nvSpPr>
        <xdr:cNvPr id="8" name="Flowchart: Manual Operation 6">
          <a:extLst>
            <a:ext uri="{FF2B5EF4-FFF2-40B4-BE49-F238E27FC236}">
              <a16:creationId xmlns:a16="http://schemas.microsoft.com/office/drawing/2014/main" id="{00000000-0008-0000-03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Valuation Charge</a:t>
          </a:r>
        </a:p>
      </xdr:txBody>
    </xdr:sp>
    <xdr:clientData/>
  </xdr:twoCellAnchor>
  <xdr:twoCellAnchor>
    <xdr:from>
      <xdr:col>6</xdr:col>
      <xdr:colOff>58511</xdr:colOff>
      <xdr:row>41</xdr:row>
      <xdr:rowOff>3978</xdr:rowOff>
    </xdr:from>
    <xdr:to>
      <xdr:col>19</xdr:col>
      <xdr:colOff>41855</xdr:colOff>
      <xdr:row>41</xdr:row>
      <xdr:rowOff>124402</xdr:rowOff>
    </xdr:to>
    <xdr:sp macro="" textlink="">
      <xdr:nvSpPr>
        <xdr:cNvPr id="9" name="Flowchart: Manual Operation 6">
          <a:extLst>
            <a:ext uri="{FF2B5EF4-FFF2-40B4-BE49-F238E27FC236}">
              <a16:creationId xmlns:a16="http://schemas.microsoft.com/office/drawing/2014/main" id="{00000000-0008-0000-03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Tax</a:t>
          </a:r>
        </a:p>
      </xdr:txBody>
    </xdr:sp>
    <xdr:clientData/>
  </xdr:twoCellAnchor>
  <xdr:twoCellAnchor>
    <xdr:from>
      <xdr:col>6</xdr:col>
      <xdr:colOff>58511</xdr:colOff>
      <xdr:row>43</xdr:row>
      <xdr:rowOff>2463</xdr:rowOff>
    </xdr:from>
    <xdr:to>
      <xdr:col>19</xdr:col>
      <xdr:colOff>41855</xdr:colOff>
      <xdr:row>43</xdr:row>
      <xdr:rowOff>122887</xdr:rowOff>
    </xdr:to>
    <xdr:sp macro="" textlink="">
      <xdr:nvSpPr>
        <xdr:cNvPr id="10" name="Flowchart: Manual Operation 6">
          <a:extLst>
            <a:ext uri="{FF2B5EF4-FFF2-40B4-BE49-F238E27FC236}">
              <a16:creationId xmlns:a16="http://schemas.microsoft.com/office/drawing/2014/main" id="{00000000-0008-0000-03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Total</a:t>
          </a:r>
          <a:r>
            <a:rPr lang="en-ID" sz="600" b="1" baseline="0">
              <a:solidFill>
                <a:srgbClr val="FFFF00"/>
              </a:solidFill>
              <a:latin typeface="Arial Narrow" panose="020B0706020202030204" pitchFamily="34" charset="0"/>
            </a:rPr>
            <a:t> Other Charges Due Agent</a:t>
          </a:r>
          <a:endParaRPr lang="en-ID" sz="600" b="1">
            <a:solidFill>
              <a:srgbClr val="FFFF00"/>
            </a:solidFill>
            <a:latin typeface="Arial Narrow" panose="020B0706020202030204" pitchFamily="34" charset="0"/>
          </a:endParaRPr>
        </a:p>
      </xdr:txBody>
    </xdr:sp>
    <xdr:clientData/>
  </xdr:twoCellAnchor>
  <xdr:twoCellAnchor>
    <xdr:from>
      <xdr:col>6</xdr:col>
      <xdr:colOff>58511</xdr:colOff>
      <xdr:row>44</xdr:row>
      <xdr:rowOff>94682</xdr:rowOff>
    </xdr:from>
    <xdr:to>
      <xdr:col>19</xdr:col>
      <xdr:colOff>41855</xdr:colOff>
      <xdr:row>45</xdr:row>
      <xdr:rowOff>121300</xdr:rowOff>
    </xdr:to>
    <xdr:sp macro="" textlink="">
      <xdr:nvSpPr>
        <xdr:cNvPr id="11" name="Flowchart: Manual Operation 6">
          <a:extLst>
            <a:ext uri="{FF2B5EF4-FFF2-40B4-BE49-F238E27FC236}">
              <a16:creationId xmlns:a16="http://schemas.microsoft.com/office/drawing/2014/main" id="{00000000-0008-0000-03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Total Other Charges Due Carrier</a:t>
          </a:r>
        </a:p>
      </xdr:txBody>
    </xdr:sp>
    <xdr:clientData/>
  </xdr:twoCellAnchor>
  <xdr:twoCellAnchor>
    <xdr:from>
      <xdr:col>0</xdr:col>
      <xdr:colOff>10160</xdr:colOff>
      <xdr:row>49</xdr:row>
      <xdr:rowOff>2969</xdr:rowOff>
    </xdr:from>
    <xdr:to>
      <xdr:col>12</xdr:col>
      <xdr:colOff>108958</xdr:colOff>
      <xdr:row>49</xdr:row>
      <xdr:rowOff>123393</xdr:rowOff>
    </xdr:to>
    <xdr:sp macro="" textlink="">
      <xdr:nvSpPr>
        <xdr:cNvPr id="12" name="Flowchart: Manual Operation 6">
          <a:extLst>
            <a:ext uri="{FF2B5EF4-FFF2-40B4-BE49-F238E27FC236}">
              <a16:creationId xmlns:a16="http://schemas.microsoft.com/office/drawing/2014/main" id="{00000000-0008-0000-03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Total Prepaid</a:t>
          </a:r>
        </a:p>
      </xdr:txBody>
    </xdr:sp>
    <xdr:clientData/>
  </xdr:twoCellAnchor>
  <xdr:twoCellAnchor>
    <xdr:from>
      <xdr:col>13</xdr:col>
      <xdr:colOff>7418</xdr:colOff>
      <xdr:row>49</xdr:row>
      <xdr:rowOff>1454</xdr:rowOff>
    </xdr:from>
    <xdr:to>
      <xdr:col>26</xdr:col>
      <xdr:colOff>107156</xdr:colOff>
      <xdr:row>49</xdr:row>
      <xdr:rowOff>121878</xdr:rowOff>
    </xdr:to>
    <xdr:sp macro="" textlink="">
      <xdr:nvSpPr>
        <xdr:cNvPr id="13" name="Flowchart: Manual Operation 6">
          <a:extLst>
            <a:ext uri="{FF2B5EF4-FFF2-40B4-BE49-F238E27FC236}">
              <a16:creationId xmlns:a16="http://schemas.microsoft.com/office/drawing/2014/main" id="{00000000-0008-0000-0300-00000D000000}"/>
            </a:ext>
          </a:extLst>
        </xdr:cNvPr>
        <xdr:cNvSpPr/>
      </xdr:nvSpPr>
      <xdr:spPr>
        <a:xfrm>
          <a:off x="1666240" y="941959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Total Collect</a:t>
          </a:r>
        </a:p>
      </xdr:txBody>
    </xdr:sp>
    <xdr:clientData/>
  </xdr:twoCellAnchor>
  <xdr:twoCellAnchor>
    <xdr:from>
      <xdr:col>0</xdr:col>
      <xdr:colOff>202</xdr:colOff>
      <xdr:row>51</xdr:row>
      <xdr:rowOff>1453</xdr:rowOff>
    </xdr:from>
    <xdr:to>
      <xdr:col>12</xdr:col>
      <xdr:colOff>99000</xdr:colOff>
      <xdr:row>51</xdr:row>
      <xdr:rowOff>121877</xdr:rowOff>
    </xdr:to>
    <xdr:sp macro="" textlink="">
      <xdr:nvSpPr>
        <xdr:cNvPr id="14" name="Flowchart: Manual Operation 6">
          <a:extLst>
            <a:ext uri="{FF2B5EF4-FFF2-40B4-BE49-F238E27FC236}">
              <a16:creationId xmlns:a16="http://schemas.microsoft.com/office/drawing/2014/main" id="{00000000-0008-0000-03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Currency Conversion Rates</a:t>
          </a:r>
        </a:p>
      </xdr:txBody>
    </xdr:sp>
    <xdr:clientData/>
  </xdr:twoCellAnchor>
  <xdr:twoCellAnchor>
    <xdr:from>
      <xdr:col>13</xdr:col>
      <xdr:colOff>7145</xdr:colOff>
      <xdr:row>51</xdr:row>
      <xdr:rowOff>2319</xdr:rowOff>
    </xdr:from>
    <xdr:to>
      <xdr:col>26</xdr:col>
      <xdr:colOff>109539</xdr:colOff>
      <xdr:row>51</xdr:row>
      <xdr:rowOff>122743</xdr:rowOff>
    </xdr:to>
    <xdr:sp macro="" textlink="">
      <xdr:nvSpPr>
        <xdr:cNvPr id="15" name="Flowchart: Manual Operation 6">
          <a:extLst>
            <a:ext uri="{FF2B5EF4-FFF2-40B4-BE49-F238E27FC236}">
              <a16:creationId xmlns:a16="http://schemas.microsoft.com/office/drawing/2014/main" id="{00000000-0008-0000-03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cc Charges in Dest. Currency</a:t>
          </a:r>
        </a:p>
      </xdr:txBody>
    </xdr:sp>
    <xdr:clientData/>
  </xdr:twoCellAnchor>
  <xdr:twoCellAnchor>
    <xdr:from>
      <xdr:col>13</xdr:col>
      <xdr:colOff>5541</xdr:colOff>
      <xdr:row>53</xdr:row>
      <xdr:rowOff>3185</xdr:rowOff>
    </xdr:from>
    <xdr:to>
      <xdr:col>26</xdr:col>
      <xdr:colOff>105497</xdr:colOff>
      <xdr:row>53</xdr:row>
      <xdr:rowOff>123609</xdr:rowOff>
    </xdr:to>
    <xdr:sp macro="" textlink="">
      <xdr:nvSpPr>
        <xdr:cNvPr id="16" name="Flowchart: Manual Operation 6">
          <a:extLst>
            <a:ext uri="{FF2B5EF4-FFF2-40B4-BE49-F238E27FC236}">
              <a16:creationId xmlns:a16="http://schemas.microsoft.com/office/drawing/2014/main" id="{00000000-0008-0000-03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Charges at Destination</a:t>
          </a:r>
        </a:p>
      </xdr:txBody>
    </xdr:sp>
    <xdr:clientData/>
  </xdr:twoCellAnchor>
  <xdr:twoCellAnchor>
    <xdr:from>
      <xdr:col>27</xdr:col>
      <xdr:colOff>13624</xdr:colOff>
      <xdr:row>53</xdr:row>
      <xdr:rowOff>1670</xdr:rowOff>
    </xdr:from>
    <xdr:to>
      <xdr:col>39</xdr:col>
      <xdr:colOff>104632</xdr:colOff>
      <xdr:row>53</xdr:row>
      <xdr:rowOff>122094</xdr:rowOff>
    </xdr:to>
    <xdr:sp macro="" textlink="">
      <xdr:nvSpPr>
        <xdr:cNvPr id="17" name="Flowchart: Manual Operation 6">
          <a:extLst>
            <a:ext uri="{FF2B5EF4-FFF2-40B4-BE49-F238E27FC236}">
              <a16:creationId xmlns:a16="http://schemas.microsoft.com/office/drawing/2014/main" id="{00000000-0008-0000-03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rgbClr val="FFFF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rgbClr val="FFFF00"/>
              </a:solidFill>
              <a:latin typeface="Arial Narrow" panose="020B0706020202030204" pitchFamily="34" charset="0"/>
            </a:rPr>
            <a:t>Total Collect Charges</a:t>
          </a:r>
        </a:p>
      </xdr:txBody>
    </xdr:sp>
    <xdr:clientData/>
  </xdr:twoCellAnchor>
  <xdr:twoCellAnchor>
    <xdr:from>
      <xdr:col>19</xdr:col>
      <xdr:colOff>0</xdr:colOff>
      <xdr:row>0</xdr:row>
      <xdr:rowOff>283388</xdr:rowOff>
    </xdr:from>
    <xdr:to>
      <xdr:col>33</xdr:col>
      <xdr:colOff>1320</xdr:colOff>
      <xdr:row>2</xdr:row>
      <xdr:rowOff>59011</xdr:rowOff>
    </xdr:to>
    <xdr:sp macro="" textlink="">
      <xdr:nvSpPr>
        <xdr:cNvPr id="19" name="Rectangle 18">
          <a:extLst>
            <a:ext uri="{FF2B5EF4-FFF2-40B4-BE49-F238E27FC236}">
              <a16:creationId xmlns:a16="http://schemas.microsoft.com/office/drawing/2014/main" id="{00000000-0008-0000-0300-000013000000}"/>
            </a:ext>
          </a:extLst>
        </xdr:cNvPr>
        <xdr:cNvSpPr/>
      </xdr:nvSpPr>
      <xdr:spPr>
        <a:xfrm>
          <a:off x="2425065" y="283210"/>
          <a:ext cx="1788160" cy="274320"/>
        </a:xfrm>
        <a:prstGeom prst="rect">
          <a:avLst/>
        </a:prstGeom>
        <a:noFill/>
        <a:ln w="635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19</xdr:col>
      <xdr:colOff>0</xdr:colOff>
      <xdr:row>6</xdr:row>
      <xdr:rowOff>0</xdr:rowOff>
    </xdr:from>
    <xdr:to>
      <xdr:col>33</xdr:col>
      <xdr:colOff>1320</xdr:colOff>
      <xdr:row>7</xdr:row>
      <xdr:rowOff>59011</xdr:rowOff>
    </xdr:to>
    <xdr:sp macro="" textlink="">
      <xdr:nvSpPr>
        <xdr:cNvPr id="21" name="Rectangle 20">
          <a:extLst>
            <a:ext uri="{FF2B5EF4-FFF2-40B4-BE49-F238E27FC236}">
              <a16:creationId xmlns:a16="http://schemas.microsoft.com/office/drawing/2014/main" id="{00000000-0008-0000-0300-000015000000}"/>
            </a:ext>
          </a:extLst>
        </xdr:cNvPr>
        <xdr:cNvSpPr/>
      </xdr:nvSpPr>
      <xdr:spPr>
        <a:xfrm>
          <a:off x="2425065" y="1352550"/>
          <a:ext cx="1788160" cy="271780"/>
        </a:xfrm>
        <a:prstGeom prst="rect">
          <a:avLst/>
        </a:prstGeom>
        <a:noFill/>
        <a:ln w="635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2</xdr:col>
      <xdr:colOff>29797</xdr:colOff>
      <xdr:row>23</xdr:row>
      <xdr:rowOff>0</xdr:rowOff>
    </xdr:from>
    <xdr:ext cx="6109365" cy="617220"/>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284480"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0</xdr:colOff>
      <xdr:row>37</xdr:row>
      <xdr:rowOff>130735</xdr:rowOff>
    </xdr:from>
    <xdr:ext cx="1369606" cy="817183"/>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3829050" y="7719695"/>
          <a:ext cx="1369060" cy="817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oneCellAnchor>
    <xdr:from>
      <xdr:col>44</xdr:col>
      <xdr:colOff>0</xdr:colOff>
      <xdr:row>28</xdr:row>
      <xdr:rowOff>0</xdr:rowOff>
    </xdr:from>
    <xdr:ext cx="2055000" cy="2185214"/>
    <xdr:sp macro="" textlink="">
      <xdr:nvSpPr>
        <xdr:cNvPr id="22" name="TextBox 21">
          <a:extLst>
            <a:ext uri="{FF2B5EF4-FFF2-40B4-BE49-F238E27FC236}">
              <a16:creationId xmlns:a16="http://schemas.microsoft.com/office/drawing/2014/main" id="{0378A801-FB19-46F2-9021-27EF74EAC907}"/>
            </a:ext>
          </a:extLst>
        </xdr:cNvPr>
        <xdr:cNvSpPr txBox="1"/>
      </xdr:nvSpPr>
      <xdr:spPr>
        <a:xfrm>
          <a:off x="4930588" y="5444191"/>
          <a:ext cx="2055000" cy="2185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latin typeface="Courier New" panose="02070309020205020404" pitchFamily="49" charset="0"/>
              <a:cs typeface="Courier New" panose="02070309020205020404" pitchFamily="49" charset="0"/>
            </a:rPr>
            <a:t>COURIER SHIPMENT</a:t>
          </a:r>
        </a:p>
        <a:p>
          <a:r>
            <a:rPr lang="en-ID" sz="900">
              <a:latin typeface="Courier New" panose="02070309020205020404" pitchFamily="49" charset="0"/>
              <a:cs typeface="Courier New" panose="02070309020205020404" pitchFamily="49" charset="0"/>
            </a:rPr>
            <a:t>HS CODE: 63071090</a:t>
          </a:r>
        </a:p>
        <a:p>
          <a:r>
            <a:rPr lang="en-ID" sz="900">
              <a:latin typeface="Courier New" panose="02070309020205020404" pitchFamily="49" charset="0"/>
              <a:cs typeface="Courier New" panose="02070309020205020404" pitchFamily="49" charset="0"/>
            </a:rPr>
            <a:t>HS CODE: 56012290</a:t>
          </a:r>
        </a:p>
        <a:p>
          <a:r>
            <a:rPr lang="en-ID" sz="900">
              <a:latin typeface="Courier New" panose="02070309020205020404" pitchFamily="49" charset="0"/>
              <a:cs typeface="Courier New" panose="02070309020205020404" pitchFamily="49" charset="0"/>
            </a:rPr>
            <a:t>HS CODE: 33073000</a:t>
          </a:r>
        </a:p>
        <a:p>
          <a:r>
            <a:rPr lang="en-ID" sz="900">
              <a:latin typeface="Courier New" panose="02070309020205020404" pitchFamily="49" charset="0"/>
              <a:cs typeface="Courier New" panose="02070309020205020404" pitchFamily="49" charset="0"/>
            </a:rPr>
            <a:t>HS CODE: 62171090</a:t>
          </a:r>
        </a:p>
        <a:p>
          <a:r>
            <a:rPr lang="en-ID" sz="900">
              <a:latin typeface="Courier New" panose="02070309020205020404" pitchFamily="49" charset="0"/>
              <a:cs typeface="Courier New" panose="02070309020205020404" pitchFamily="49" charset="0"/>
            </a:rPr>
            <a:t>HS CODE: 19059090</a:t>
          </a:r>
        </a:p>
        <a:p>
          <a:r>
            <a:rPr lang="en-ID" sz="900">
              <a:latin typeface="Courier New" panose="02070309020205020404" pitchFamily="49" charset="0"/>
              <a:cs typeface="Courier New" panose="02070309020205020404" pitchFamily="49" charset="0"/>
            </a:rPr>
            <a:t>DIMS</a:t>
          </a:r>
        </a:p>
        <a:p>
          <a:r>
            <a:rPr lang="en-ID" sz="900">
              <a:latin typeface="Courier New" panose="02070309020205020404" pitchFamily="49" charset="0"/>
              <a:cs typeface="Courier New" panose="02070309020205020404" pitchFamily="49" charset="0"/>
            </a:rPr>
            <a:t>73X38X32 / 1 </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77X38X26 / 1  74X34X25 / 1   80X40X30 / 1</a:t>
          </a:r>
        </a:p>
        <a:p>
          <a:r>
            <a:rPr lang="en-ID" sz="900">
              <a:latin typeface="Courier New" panose="02070309020205020404" pitchFamily="49" charset="0"/>
              <a:cs typeface="Courier New" panose="02070309020205020404" pitchFamily="49" charset="0"/>
            </a:rPr>
            <a:t>70X60X20 / 2   65X40X25 / 3</a:t>
          </a:r>
        </a:p>
        <a:p>
          <a:r>
            <a:rPr lang="en-ID" sz="900">
              <a:latin typeface="Courier New" panose="02070309020205020404" pitchFamily="49" charset="0"/>
              <a:cs typeface="Courier New" panose="02070309020205020404" pitchFamily="49" charset="0"/>
            </a:rPr>
            <a:t>70X50X20 / 1   57X40X30 / 1</a:t>
          </a:r>
        </a:p>
        <a:p>
          <a:r>
            <a:rPr lang="en-ID" sz="900">
              <a:latin typeface="Courier New" panose="02070309020205020404" pitchFamily="49" charset="0"/>
              <a:cs typeface="Courier New" panose="02070309020205020404" pitchFamily="49" charset="0"/>
            </a:rPr>
            <a:t>50X40X20 / 2</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75X40X30 / 2</a:t>
          </a:r>
        </a:p>
        <a:p>
          <a:r>
            <a:rPr lang="en-ID" sz="900">
              <a:latin typeface="Courier New" panose="02070309020205020404" pitchFamily="49" charset="0"/>
              <a:cs typeface="Courier New" panose="02070309020205020404" pitchFamily="49" charset="0"/>
            </a:rPr>
            <a:t>70X40X25 / 1   70X38X30 / 1</a:t>
          </a:r>
        </a:p>
        <a:p>
          <a:r>
            <a:rPr lang="en-ID" sz="900">
              <a:latin typeface="Courier New" panose="02070309020205020404" pitchFamily="49" charset="0"/>
              <a:cs typeface="Courier New" panose="02070309020205020404" pitchFamily="49" charset="0"/>
            </a:rPr>
            <a:t>77X38X26 / 1   40X35X23 / 1</a:t>
          </a:r>
        </a:p>
        <a:p>
          <a:r>
            <a:rPr lang="en-ID" sz="900">
              <a:latin typeface="Courier New" panose="02070309020205020404" pitchFamily="49" charset="0"/>
              <a:cs typeface="Courier New" panose="02070309020205020404" pitchFamily="49" charset="0"/>
            </a:rPr>
            <a:t>56X50X21 / 1   45X28X24 / 1</a:t>
          </a:r>
        </a:p>
        <a:p>
          <a:endParaRPr lang="en-ID" sz="900">
            <a:latin typeface="Courier New" panose="02070309020205020404" pitchFamily="49" charset="0"/>
            <a:cs typeface="Courier New" panose="02070309020205020404" pitchFamily="49"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flipV="1">
          <a:off x="3328035" y="5634990"/>
          <a:ext cx="883920" cy="461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4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4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For Carrier Use Only</a:t>
          </a:r>
        </a:p>
      </xdr:txBody>
    </xdr:sp>
    <xdr:clientData/>
  </xdr:twoCellAnchor>
  <xdr:twoCellAnchor>
    <xdr:from>
      <xdr:col>6</xdr:col>
      <xdr:colOff>58511</xdr:colOff>
      <xdr:row>37</xdr:row>
      <xdr:rowOff>0</xdr:rowOff>
    </xdr:from>
    <xdr:to>
      <xdr:col>19</xdr:col>
      <xdr:colOff>41855</xdr:colOff>
      <xdr:row>37</xdr:row>
      <xdr:rowOff>120009</xdr:rowOff>
    </xdr:to>
    <xdr:sp macro="" textlink="">
      <xdr:nvSpPr>
        <xdr:cNvPr id="5" name="Flowchart: Manual Operation 6">
          <a:extLst>
            <a:ext uri="{FF2B5EF4-FFF2-40B4-BE49-F238E27FC236}">
              <a16:creationId xmlns:a16="http://schemas.microsoft.com/office/drawing/2014/main" id="{00000000-0008-0000-0400-000005000000}"/>
            </a:ext>
          </a:extLst>
        </xdr:cNvPr>
        <xdr:cNvSpPr/>
      </xdr:nvSpPr>
      <xdr:spPr>
        <a:xfrm>
          <a:off x="824230" y="7589520"/>
          <a:ext cx="1642110" cy="11938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Weight Charges</a:t>
          </a:r>
        </a:p>
      </xdr:txBody>
    </xdr:sp>
    <xdr:clientData/>
  </xdr:twoCellAnchor>
  <xdr:twoCellAnchor>
    <xdr:from>
      <xdr:col>19</xdr:col>
      <xdr:colOff>57728</xdr:colOff>
      <xdr:row>37</xdr:row>
      <xdr:rowOff>1028</xdr:rowOff>
    </xdr:from>
    <xdr:to>
      <xdr:col>26</xdr:col>
      <xdr:colOff>111920</xdr:colOff>
      <xdr:row>37</xdr:row>
      <xdr:rowOff>123328</xdr:rowOff>
    </xdr:to>
    <xdr:sp macro="" textlink="">
      <xdr:nvSpPr>
        <xdr:cNvPr id="6" name="Flowchart: Manual Operation 6">
          <a:extLst>
            <a:ext uri="{FF2B5EF4-FFF2-40B4-BE49-F238E27FC236}">
              <a16:creationId xmlns:a16="http://schemas.microsoft.com/office/drawing/2014/main" id="{00000000-0008-0000-04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Collect</a:t>
          </a:r>
        </a:p>
      </xdr:txBody>
    </xdr:sp>
    <xdr:clientData/>
  </xdr:twoCellAnchor>
  <xdr:twoCellAnchor>
    <xdr:from>
      <xdr:col>0</xdr:col>
      <xdr:colOff>0</xdr:colOff>
      <xdr:row>37</xdr:row>
      <xdr:rowOff>2111</xdr:rowOff>
    </xdr:from>
    <xdr:to>
      <xdr:col>6</xdr:col>
      <xdr:colOff>50512</xdr:colOff>
      <xdr:row>37</xdr:row>
      <xdr:rowOff>112721</xdr:rowOff>
    </xdr:to>
    <xdr:sp macro="" textlink="">
      <xdr:nvSpPr>
        <xdr:cNvPr id="7" name="Flowchart: Manual Operation 6">
          <a:extLst>
            <a:ext uri="{FF2B5EF4-FFF2-40B4-BE49-F238E27FC236}">
              <a16:creationId xmlns:a16="http://schemas.microsoft.com/office/drawing/2014/main" id="{00000000-0008-0000-04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Prepaid</a:t>
          </a:r>
        </a:p>
      </xdr:txBody>
    </xdr:sp>
    <xdr:clientData/>
  </xdr:twoCellAnchor>
  <xdr:twoCellAnchor>
    <xdr:from>
      <xdr:col>6</xdr:col>
      <xdr:colOff>57934</xdr:colOff>
      <xdr:row>39</xdr:row>
      <xdr:rowOff>3113</xdr:rowOff>
    </xdr:from>
    <xdr:to>
      <xdr:col>19</xdr:col>
      <xdr:colOff>42433</xdr:colOff>
      <xdr:row>39</xdr:row>
      <xdr:rowOff>123537</xdr:rowOff>
    </xdr:to>
    <xdr:sp macro="" textlink="">
      <xdr:nvSpPr>
        <xdr:cNvPr id="8" name="Flowchart: Manual Operation 6">
          <a:extLst>
            <a:ext uri="{FF2B5EF4-FFF2-40B4-BE49-F238E27FC236}">
              <a16:creationId xmlns:a16="http://schemas.microsoft.com/office/drawing/2014/main" id="{00000000-0008-0000-04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Valuation Charge</a:t>
          </a:r>
        </a:p>
      </xdr:txBody>
    </xdr:sp>
    <xdr:clientData/>
  </xdr:twoCellAnchor>
  <xdr:twoCellAnchor>
    <xdr:from>
      <xdr:col>6</xdr:col>
      <xdr:colOff>58511</xdr:colOff>
      <xdr:row>41</xdr:row>
      <xdr:rowOff>3978</xdr:rowOff>
    </xdr:from>
    <xdr:to>
      <xdr:col>19</xdr:col>
      <xdr:colOff>41855</xdr:colOff>
      <xdr:row>41</xdr:row>
      <xdr:rowOff>124402</xdr:rowOff>
    </xdr:to>
    <xdr:sp macro="" textlink="">
      <xdr:nvSpPr>
        <xdr:cNvPr id="9" name="Flowchart: Manual Operation 6">
          <a:extLst>
            <a:ext uri="{FF2B5EF4-FFF2-40B4-BE49-F238E27FC236}">
              <a16:creationId xmlns:a16="http://schemas.microsoft.com/office/drawing/2014/main" id="{00000000-0008-0000-04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Tax</a:t>
          </a:r>
        </a:p>
      </xdr:txBody>
    </xdr:sp>
    <xdr:clientData/>
  </xdr:twoCellAnchor>
  <xdr:twoCellAnchor>
    <xdr:from>
      <xdr:col>6</xdr:col>
      <xdr:colOff>58511</xdr:colOff>
      <xdr:row>43</xdr:row>
      <xdr:rowOff>2463</xdr:rowOff>
    </xdr:from>
    <xdr:to>
      <xdr:col>19</xdr:col>
      <xdr:colOff>41855</xdr:colOff>
      <xdr:row>43</xdr:row>
      <xdr:rowOff>122887</xdr:rowOff>
    </xdr:to>
    <xdr:sp macro="" textlink="">
      <xdr:nvSpPr>
        <xdr:cNvPr id="10" name="Flowchart: Manual Operation 6">
          <a:extLst>
            <a:ext uri="{FF2B5EF4-FFF2-40B4-BE49-F238E27FC236}">
              <a16:creationId xmlns:a16="http://schemas.microsoft.com/office/drawing/2014/main" id="{00000000-0008-0000-04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a:t>
          </a:r>
          <a:r>
            <a:rPr lang="en-ID" sz="600" b="1" baseline="0">
              <a:solidFill>
                <a:sysClr val="windowText" lastClr="000000"/>
              </a:solidFill>
              <a:latin typeface="Arial Narrow" panose="020B0706020202030204" pitchFamily="34" charset="0"/>
            </a:rPr>
            <a:t> Other Charges Due Agent</a:t>
          </a:r>
          <a:endParaRPr lang="en-ID" sz="600" b="1">
            <a:solidFill>
              <a:sysClr val="windowText" lastClr="000000"/>
            </a:solidFill>
            <a:latin typeface="Arial Narrow" panose="020B0706020202030204" pitchFamily="34" charset="0"/>
          </a:endParaRPr>
        </a:p>
      </xdr:txBody>
    </xdr:sp>
    <xdr:clientData/>
  </xdr:twoCellAnchor>
  <xdr:twoCellAnchor>
    <xdr:from>
      <xdr:col>6</xdr:col>
      <xdr:colOff>58511</xdr:colOff>
      <xdr:row>44</xdr:row>
      <xdr:rowOff>94682</xdr:rowOff>
    </xdr:from>
    <xdr:to>
      <xdr:col>19</xdr:col>
      <xdr:colOff>41855</xdr:colOff>
      <xdr:row>45</xdr:row>
      <xdr:rowOff>121300</xdr:rowOff>
    </xdr:to>
    <xdr:sp macro="" textlink="">
      <xdr:nvSpPr>
        <xdr:cNvPr id="11" name="Flowchart: Manual Operation 6">
          <a:extLst>
            <a:ext uri="{FF2B5EF4-FFF2-40B4-BE49-F238E27FC236}">
              <a16:creationId xmlns:a16="http://schemas.microsoft.com/office/drawing/2014/main" id="{00000000-0008-0000-04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Other Charges Due Carrier</a:t>
          </a:r>
        </a:p>
      </xdr:txBody>
    </xdr:sp>
    <xdr:clientData/>
  </xdr:twoCellAnchor>
  <xdr:twoCellAnchor>
    <xdr:from>
      <xdr:col>0</xdr:col>
      <xdr:colOff>10160</xdr:colOff>
      <xdr:row>49</xdr:row>
      <xdr:rowOff>2969</xdr:rowOff>
    </xdr:from>
    <xdr:to>
      <xdr:col>12</xdr:col>
      <xdr:colOff>108958</xdr:colOff>
      <xdr:row>49</xdr:row>
      <xdr:rowOff>123393</xdr:rowOff>
    </xdr:to>
    <xdr:sp macro="" textlink="">
      <xdr:nvSpPr>
        <xdr:cNvPr id="12" name="Flowchart: Manual Operation 6">
          <a:extLst>
            <a:ext uri="{FF2B5EF4-FFF2-40B4-BE49-F238E27FC236}">
              <a16:creationId xmlns:a16="http://schemas.microsoft.com/office/drawing/2014/main" id="{00000000-0008-0000-04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Prepaid</a:t>
          </a:r>
        </a:p>
      </xdr:txBody>
    </xdr:sp>
    <xdr:clientData/>
  </xdr:twoCellAnchor>
  <xdr:twoCellAnchor>
    <xdr:from>
      <xdr:col>13</xdr:col>
      <xdr:colOff>7418</xdr:colOff>
      <xdr:row>49</xdr:row>
      <xdr:rowOff>1454</xdr:rowOff>
    </xdr:from>
    <xdr:to>
      <xdr:col>26</xdr:col>
      <xdr:colOff>107156</xdr:colOff>
      <xdr:row>49</xdr:row>
      <xdr:rowOff>121878</xdr:rowOff>
    </xdr:to>
    <xdr:sp macro="" textlink="">
      <xdr:nvSpPr>
        <xdr:cNvPr id="13" name="Flowchart: Manual Operation 6">
          <a:extLst>
            <a:ext uri="{FF2B5EF4-FFF2-40B4-BE49-F238E27FC236}">
              <a16:creationId xmlns:a16="http://schemas.microsoft.com/office/drawing/2014/main" id="{00000000-0008-0000-0400-00000D000000}"/>
            </a:ext>
          </a:extLst>
        </xdr:cNvPr>
        <xdr:cNvSpPr/>
      </xdr:nvSpPr>
      <xdr:spPr>
        <a:xfrm>
          <a:off x="1666240" y="941959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a:t>
          </a:r>
        </a:p>
      </xdr:txBody>
    </xdr:sp>
    <xdr:clientData/>
  </xdr:twoCellAnchor>
  <xdr:twoCellAnchor>
    <xdr:from>
      <xdr:col>0</xdr:col>
      <xdr:colOff>202</xdr:colOff>
      <xdr:row>51</xdr:row>
      <xdr:rowOff>1453</xdr:rowOff>
    </xdr:from>
    <xdr:to>
      <xdr:col>12</xdr:col>
      <xdr:colOff>99000</xdr:colOff>
      <xdr:row>51</xdr:row>
      <xdr:rowOff>121877</xdr:rowOff>
    </xdr:to>
    <xdr:sp macro="" textlink="">
      <xdr:nvSpPr>
        <xdr:cNvPr id="14" name="Flowchart: Manual Operation 6">
          <a:extLst>
            <a:ext uri="{FF2B5EF4-FFF2-40B4-BE49-F238E27FC236}">
              <a16:creationId xmlns:a16="http://schemas.microsoft.com/office/drawing/2014/main" id="{00000000-0008-0000-04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Currency Conversion Rates</a:t>
          </a:r>
        </a:p>
      </xdr:txBody>
    </xdr:sp>
    <xdr:clientData/>
  </xdr:twoCellAnchor>
  <xdr:twoCellAnchor>
    <xdr:from>
      <xdr:col>13</xdr:col>
      <xdr:colOff>7145</xdr:colOff>
      <xdr:row>51</xdr:row>
      <xdr:rowOff>2319</xdr:rowOff>
    </xdr:from>
    <xdr:to>
      <xdr:col>26</xdr:col>
      <xdr:colOff>109539</xdr:colOff>
      <xdr:row>51</xdr:row>
      <xdr:rowOff>122743</xdr:rowOff>
    </xdr:to>
    <xdr:sp macro="" textlink="">
      <xdr:nvSpPr>
        <xdr:cNvPr id="15" name="Flowchart: Manual Operation 6">
          <a:extLst>
            <a:ext uri="{FF2B5EF4-FFF2-40B4-BE49-F238E27FC236}">
              <a16:creationId xmlns:a16="http://schemas.microsoft.com/office/drawing/2014/main" id="{00000000-0008-0000-04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cc Charges in Dest. Currency</a:t>
          </a:r>
        </a:p>
      </xdr:txBody>
    </xdr:sp>
    <xdr:clientData/>
  </xdr:twoCellAnchor>
  <xdr:twoCellAnchor>
    <xdr:from>
      <xdr:col>13</xdr:col>
      <xdr:colOff>5541</xdr:colOff>
      <xdr:row>53</xdr:row>
      <xdr:rowOff>3185</xdr:rowOff>
    </xdr:from>
    <xdr:to>
      <xdr:col>26</xdr:col>
      <xdr:colOff>105497</xdr:colOff>
      <xdr:row>53</xdr:row>
      <xdr:rowOff>123609</xdr:rowOff>
    </xdr:to>
    <xdr:sp macro="" textlink="">
      <xdr:nvSpPr>
        <xdr:cNvPr id="16" name="Flowchart: Manual Operation 6">
          <a:extLst>
            <a:ext uri="{FF2B5EF4-FFF2-40B4-BE49-F238E27FC236}">
              <a16:creationId xmlns:a16="http://schemas.microsoft.com/office/drawing/2014/main" id="{00000000-0008-0000-04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Charges at Destination</a:t>
          </a:r>
        </a:p>
      </xdr:txBody>
    </xdr:sp>
    <xdr:clientData/>
  </xdr:twoCellAnchor>
  <xdr:twoCellAnchor>
    <xdr:from>
      <xdr:col>27</xdr:col>
      <xdr:colOff>13624</xdr:colOff>
      <xdr:row>53</xdr:row>
      <xdr:rowOff>1670</xdr:rowOff>
    </xdr:from>
    <xdr:to>
      <xdr:col>39</xdr:col>
      <xdr:colOff>104632</xdr:colOff>
      <xdr:row>53</xdr:row>
      <xdr:rowOff>122094</xdr:rowOff>
    </xdr:to>
    <xdr:sp macro="" textlink="">
      <xdr:nvSpPr>
        <xdr:cNvPr id="17" name="Flowchart: Manual Operation 6">
          <a:extLst>
            <a:ext uri="{FF2B5EF4-FFF2-40B4-BE49-F238E27FC236}">
              <a16:creationId xmlns:a16="http://schemas.microsoft.com/office/drawing/2014/main" id="{00000000-0008-0000-04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 Charges</a:t>
          </a:r>
        </a:p>
      </xdr:txBody>
    </xdr:sp>
    <xdr:clientData/>
  </xdr:twoCellAnchor>
  <xdr:twoCellAnchor>
    <xdr:from>
      <xdr:col>19</xdr:col>
      <xdr:colOff>0</xdr:colOff>
      <xdr:row>6</xdr:row>
      <xdr:rowOff>2381</xdr:rowOff>
    </xdr:from>
    <xdr:to>
      <xdr:col>33</xdr:col>
      <xdr:colOff>0</xdr:colOff>
      <xdr:row>7</xdr:row>
      <xdr:rowOff>188119</xdr:rowOff>
    </xdr:to>
    <xdr:sp macro="" textlink="">
      <xdr:nvSpPr>
        <xdr:cNvPr id="18" name="Rectangle 17">
          <a:extLst>
            <a:ext uri="{FF2B5EF4-FFF2-40B4-BE49-F238E27FC236}">
              <a16:creationId xmlns:a16="http://schemas.microsoft.com/office/drawing/2014/main" id="{00000000-0008-0000-0400-000012000000}"/>
            </a:ext>
          </a:extLst>
        </xdr:cNvPr>
        <xdr:cNvSpPr/>
      </xdr:nvSpPr>
      <xdr:spPr>
        <a:xfrm>
          <a:off x="2425065" y="1354455"/>
          <a:ext cx="1786890" cy="399415"/>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568</xdr:colOff>
      <xdr:row>1</xdr:row>
      <xdr:rowOff>1</xdr:rowOff>
    </xdr:from>
    <xdr:to>
      <xdr:col>32</xdr:col>
      <xdr:colOff>112757</xdr:colOff>
      <xdr:row>3</xdr:row>
      <xdr:rowOff>1</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a:xfrm>
          <a:off x="2425065" y="285750"/>
          <a:ext cx="1771650" cy="42672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25966</xdr:colOff>
      <xdr:row>23</xdr:row>
      <xdr:rowOff>0</xdr:rowOff>
    </xdr:from>
    <xdr:ext cx="6109365" cy="617220"/>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280670"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16282</xdr:colOff>
      <xdr:row>37</xdr:row>
      <xdr:rowOff>122115</xdr:rowOff>
    </xdr:from>
    <xdr:ext cx="1369606" cy="817183"/>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3844925" y="7711440"/>
          <a:ext cx="1369695" cy="817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oneCellAnchor>
    <xdr:from>
      <xdr:col>44</xdr:col>
      <xdr:colOff>0</xdr:colOff>
      <xdr:row>28</xdr:row>
      <xdr:rowOff>0</xdr:rowOff>
    </xdr:from>
    <xdr:ext cx="2055000" cy="2185214"/>
    <xdr:sp macro="" textlink="">
      <xdr:nvSpPr>
        <xdr:cNvPr id="22" name="TextBox 21">
          <a:extLst>
            <a:ext uri="{FF2B5EF4-FFF2-40B4-BE49-F238E27FC236}">
              <a16:creationId xmlns:a16="http://schemas.microsoft.com/office/drawing/2014/main" id="{8866C678-2BE1-4060-9666-77F87D3EB937}"/>
            </a:ext>
          </a:extLst>
        </xdr:cNvPr>
        <xdr:cNvSpPr txBox="1"/>
      </xdr:nvSpPr>
      <xdr:spPr>
        <a:xfrm>
          <a:off x="5014872" y="5462628"/>
          <a:ext cx="2055000" cy="2185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latin typeface="Courier New" panose="02070309020205020404" pitchFamily="49" charset="0"/>
              <a:cs typeface="Courier New" panose="02070309020205020404" pitchFamily="49" charset="0"/>
            </a:rPr>
            <a:t>COURIER SHIPMENT</a:t>
          </a:r>
        </a:p>
        <a:p>
          <a:r>
            <a:rPr lang="en-ID" sz="900">
              <a:latin typeface="Courier New" panose="02070309020205020404" pitchFamily="49" charset="0"/>
              <a:cs typeface="Courier New" panose="02070309020205020404" pitchFamily="49" charset="0"/>
            </a:rPr>
            <a:t>HS CODE: 63071090</a:t>
          </a:r>
        </a:p>
        <a:p>
          <a:r>
            <a:rPr lang="en-ID" sz="900">
              <a:latin typeface="Courier New" panose="02070309020205020404" pitchFamily="49" charset="0"/>
              <a:cs typeface="Courier New" panose="02070309020205020404" pitchFamily="49" charset="0"/>
            </a:rPr>
            <a:t>HS CODE: 56012290</a:t>
          </a:r>
        </a:p>
        <a:p>
          <a:r>
            <a:rPr lang="en-ID" sz="900">
              <a:latin typeface="Courier New" panose="02070309020205020404" pitchFamily="49" charset="0"/>
              <a:cs typeface="Courier New" panose="02070309020205020404" pitchFamily="49" charset="0"/>
            </a:rPr>
            <a:t>HS CODE: 33073000</a:t>
          </a:r>
        </a:p>
        <a:p>
          <a:r>
            <a:rPr lang="en-ID" sz="900">
              <a:latin typeface="Courier New" panose="02070309020205020404" pitchFamily="49" charset="0"/>
              <a:cs typeface="Courier New" panose="02070309020205020404" pitchFamily="49" charset="0"/>
            </a:rPr>
            <a:t>HS CODE: 62171090</a:t>
          </a:r>
        </a:p>
        <a:p>
          <a:r>
            <a:rPr lang="en-ID" sz="900">
              <a:latin typeface="Courier New" panose="02070309020205020404" pitchFamily="49" charset="0"/>
              <a:cs typeface="Courier New" panose="02070309020205020404" pitchFamily="49" charset="0"/>
            </a:rPr>
            <a:t>HS CODE: 19059090</a:t>
          </a:r>
        </a:p>
        <a:p>
          <a:r>
            <a:rPr lang="en-ID" sz="900">
              <a:latin typeface="Courier New" panose="02070309020205020404" pitchFamily="49" charset="0"/>
              <a:cs typeface="Courier New" panose="02070309020205020404" pitchFamily="49" charset="0"/>
            </a:rPr>
            <a:t>DIMS</a:t>
          </a:r>
        </a:p>
        <a:p>
          <a:r>
            <a:rPr lang="en-ID" sz="900">
              <a:latin typeface="Courier New" panose="02070309020205020404" pitchFamily="49" charset="0"/>
              <a:cs typeface="Courier New" panose="02070309020205020404" pitchFamily="49" charset="0"/>
            </a:rPr>
            <a:t>73X38X32 / 1 </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77X38X26 / 1  74X34X25 / 1   80X40X30 / 1</a:t>
          </a:r>
        </a:p>
        <a:p>
          <a:r>
            <a:rPr lang="en-ID" sz="900">
              <a:latin typeface="Courier New" panose="02070309020205020404" pitchFamily="49" charset="0"/>
              <a:cs typeface="Courier New" panose="02070309020205020404" pitchFamily="49" charset="0"/>
            </a:rPr>
            <a:t>70X60X20 / 2   65X40X25 / 3</a:t>
          </a:r>
        </a:p>
        <a:p>
          <a:r>
            <a:rPr lang="en-ID" sz="900">
              <a:latin typeface="Courier New" panose="02070309020205020404" pitchFamily="49" charset="0"/>
              <a:cs typeface="Courier New" panose="02070309020205020404" pitchFamily="49" charset="0"/>
            </a:rPr>
            <a:t>70X50X20 / 1   57X40X30 / 1</a:t>
          </a:r>
        </a:p>
        <a:p>
          <a:r>
            <a:rPr lang="en-ID" sz="900">
              <a:latin typeface="Courier New" panose="02070309020205020404" pitchFamily="49" charset="0"/>
              <a:cs typeface="Courier New" panose="02070309020205020404" pitchFamily="49" charset="0"/>
            </a:rPr>
            <a:t>50X40X20 / 2</a:t>
          </a:r>
          <a:r>
            <a:rPr lang="en-ID" sz="900" baseline="0">
              <a:latin typeface="Courier New" panose="02070309020205020404" pitchFamily="49" charset="0"/>
              <a:cs typeface="Courier New" panose="02070309020205020404" pitchFamily="49" charset="0"/>
            </a:rPr>
            <a:t> </a:t>
          </a:r>
          <a:r>
            <a:rPr lang="en-ID" sz="900">
              <a:latin typeface="Courier New" panose="02070309020205020404" pitchFamily="49" charset="0"/>
              <a:cs typeface="Courier New" panose="02070309020205020404" pitchFamily="49" charset="0"/>
            </a:rPr>
            <a:t>  75X40X30 / 2</a:t>
          </a:r>
        </a:p>
        <a:p>
          <a:r>
            <a:rPr lang="en-ID" sz="900">
              <a:latin typeface="Courier New" panose="02070309020205020404" pitchFamily="49" charset="0"/>
              <a:cs typeface="Courier New" panose="02070309020205020404" pitchFamily="49" charset="0"/>
            </a:rPr>
            <a:t>70X40X25 / 1   70X38X30 / 1</a:t>
          </a:r>
        </a:p>
        <a:p>
          <a:r>
            <a:rPr lang="en-ID" sz="900">
              <a:latin typeface="Courier New" panose="02070309020205020404" pitchFamily="49" charset="0"/>
              <a:cs typeface="Courier New" panose="02070309020205020404" pitchFamily="49" charset="0"/>
            </a:rPr>
            <a:t>77X38X26 / 1   40X35X23 / 1</a:t>
          </a:r>
        </a:p>
        <a:p>
          <a:r>
            <a:rPr lang="en-ID" sz="900">
              <a:latin typeface="Courier New" panose="02070309020205020404" pitchFamily="49" charset="0"/>
              <a:cs typeface="Courier New" panose="02070309020205020404" pitchFamily="49" charset="0"/>
            </a:rPr>
            <a:t>56X50X21 / 1   45X28X24 / 1</a:t>
          </a:r>
        </a:p>
        <a:p>
          <a:endParaRPr lang="en-ID" sz="900">
            <a:latin typeface="Courier New" panose="02070309020205020404" pitchFamily="49" charset="0"/>
            <a:cs typeface="Courier New" panose="02070309020205020404" pitchFamily="49" charset="0"/>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flipV="1">
          <a:off x="3328035" y="5634990"/>
          <a:ext cx="883920" cy="461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5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5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For Carrier Use Only</a:t>
          </a:r>
        </a:p>
      </xdr:txBody>
    </xdr:sp>
    <xdr:clientData/>
  </xdr:twoCellAnchor>
  <xdr:twoCellAnchor>
    <xdr:from>
      <xdr:col>6</xdr:col>
      <xdr:colOff>58511</xdr:colOff>
      <xdr:row>40</xdr:row>
      <xdr:rowOff>0</xdr:rowOff>
    </xdr:from>
    <xdr:to>
      <xdr:col>19</xdr:col>
      <xdr:colOff>41855</xdr:colOff>
      <xdr:row>40</xdr:row>
      <xdr:rowOff>120009</xdr:rowOff>
    </xdr:to>
    <xdr:sp macro="" textlink="">
      <xdr:nvSpPr>
        <xdr:cNvPr id="5" name="Flowchart: Manual Operation 6">
          <a:extLst>
            <a:ext uri="{FF2B5EF4-FFF2-40B4-BE49-F238E27FC236}">
              <a16:creationId xmlns:a16="http://schemas.microsoft.com/office/drawing/2014/main" id="{00000000-0008-0000-0500-000005000000}"/>
            </a:ext>
          </a:extLst>
        </xdr:cNvPr>
        <xdr:cNvSpPr/>
      </xdr:nvSpPr>
      <xdr:spPr>
        <a:xfrm>
          <a:off x="824230" y="7589520"/>
          <a:ext cx="1642110" cy="11938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Weight Charges</a:t>
          </a:r>
        </a:p>
      </xdr:txBody>
    </xdr:sp>
    <xdr:clientData/>
  </xdr:twoCellAnchor>
  <xdr:twoCellAnchor>
    <xdr:from>
      <xdr:col>19</xdr:col>
      <xdr:colOff>57728</xdr:colOff>
      <xdr:row>40</xdr:row>
      <xdr:rowOff>1028</xdr:rowOff>
    </xdr:from>
    <xdr:to>
      <xdr:col>26</xdr:col>
      <xdr:colOff>111920</xdr:colOff>
      <xdr:row>40</xdr:row>
      <xdr:rowOff>123328</xdr:rowOff>
    </xdr:to>
    <xdr:sp macro="" textlink="">
      <xdr:nvSpPr>
        <xdr:cNvPr id="6" name="Flowchart: Manual Operation 6">
          <a:extLst>
            <a:ext uri="{FF2B5EF4-FFF2-40B4-BE49-F238E27FC236}">
              <a16:creationId xmlns:a16="http://schemas.microsoft.com/office/drawing/2014/main" id="{00000000-0008-0000-05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Collect</a:t>
          </a:r>
        </a:p>
      </xdr:txBody>
    </xdr:sp>
    <xdr:clientData/>
  </xdr:twoCellAnchor>
  <xdr:twoCellAnchor>
    <xdr:from>
      <xdr:col>0</xdr:col>
      <xdr:colOff>0</xdr:colOff>
      <xdr:row>40</xdr:row>
      <xdr:rowOff>2111</xdr:rowOff>
    </xdr:from>
    <xdr:to>
      <xdr:col>6</xdr:col>
      <xdr:colOff>50512</xdr:colOff>
      <xdr:row>40</xdr:row>
      <xdr:rowOff>112721</xdr:rowOff>
    </xdr:to>
    <xdr:sp macro="" textlink="">
      <xdr:nvSpPr>
        <xdr:cNvPr id="7" name="Flowchart: Manual Operation 6">
          <a:extLst>
            <a:ext uri="{FF2B5EF4-FFF2-40B4-BE49-F238E27FC236}">
              <a16:creationId xmlns:a16="http://schemas.microsoft.com/office/drawing/2014/main" id="{00000000-0008-0000-05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Prepaid</a:t>
          </a:r>
        </a:p>
      </xdr:txBody>
    </xdr:sp>
    <xdr:clientData/>
  </xdr:twoCellAnchor>
  <xdr:twoCellAnchor>
    <xdr:from>
      <xdr:col>6</xdr:col>
      <xdr:colOff>57934</xdr:colOff>
      <xdr:row>42</xdr:row>
      <xdr:rowOff>3113</xdr:rowOff>
    </xdr:from>
    <xdr:to>
      <xdr:col>19</xdr:col>
      <xdr:colOff>42433</xdr:colOff>
      <xdr:row>42</xdr:row>
      <xdr:rowOff>123537</xdr:rowOff>
    </xdr:to>
    <xdr:sp macro="" textlink="">
      <xdr:nvSpPr>
        <xdr:cNvPr id="8" name="Flowchart: Manual Operation 6">
          <a:extLst>
            <a:ext uri="{FF2B5EF4-FFF2-40B4-BE49-F238E27FC236}">
              <a16:creationId xmlns:a16="http://schemas.microsoft.com/office/drawing/2014/main" id="{00000000-0008-0000-05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Valuation Charge</a:t>
          </a:r>
        </a:p>
      </xdr:txBody>
    </xdr:sp>
    <xdr:clientData/>
  </xdr:twoCellAnchor>
  <xdr:twoCellAnchor>
    <xdr:from>
      <xdr:col>6</xdr:col>
      <xdr:colOff>58511</xdr:colOff>
      <xdr:row>44</xdr:row>
      <xdr:rowOff>3978</xdr:rowOff>
    </xdr:from>
    <xdr:to>
      <xdr:col>19</xdr:col>
      <xdr:colOff>41855</xdr:colOff>
      <xdr:row>44</xdr:row>
      <xdr:rowOff>124402</xdr:rowOff>
    </xdr:to>
    <xdr:sp macro="" textlink="">
      <xdr:nvSpPr>
        <xdr:cNvPr id="9" name="Flowchart: Manual Operation 6">
          <a:extLst>
            <a:ext uri="{FF2B5EF4-FFF2-40B4-BE49-F238E27FC236}">
              <a16:creationId xmlns:a16="http://schemas.microsoft.com/office/drawing/2014/main" id="{00000000-0008-0000-05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Tax</a:t>
          </a:r>
        </a:p>
      </xdr:txBody>
    </xdr:sp>
    <xdr:clientData/>
  </xdr:twoCellAnchor>
  <xdr:twoCellAnchor>
    <xdr:from>
      <xdr:col>6</xdr:col>
      <xdr:colOff>58511</xdr:colOff>
      <xdr:row>46</xdr:row>
      <xdr:rowOff>2463</xdr:rowOff>
    </xdr:from>
    <xdr:to>
      <xdr:col>19</xdr:col>
      <xdr:colOff>41855</xdr:colOff>
      <xdr:row>46</xdr:row>
      <xdr:rowOff>122887</xdr:rowOff>
    </xdr:to>
    <xdr:sp macro="" textlink="">
      <xdr:nvSpPr>
        <xdr:cNvPr id="10" name="Flowchart: Manual Operation 6">
          <a:extLst>
            <a:ext uri="{FF2B5EF4-FFF2-40B4-BE49-F238E27FC236}">
              <a16:creationId xmlns:a16="http://schemas.microsoft.com/office/drawing/2014/main" id="{00000000-0008-0000-05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a:t>
          </a:r>
          <a:r>
            <a:rPr lang="en-ID" sz="600" b="1" baseline="0">
              <a:solidFill>
                <a:sysClr val="windowText" lastClr="000000"/>
              </a:solidFill>
              <a:latin typeface="Arial Narrow" panose="020B0706020202030204" pitchFamily="34" charset="0"/>
            </a:rPr>
            <a:t> Other Charges Due Agent</a:t>
          </a:r>
          <a:endParaRPr lang="en-ID" sz="600" b="1">
            <a:solidFill>
              <a:sysClr val="windowText" lastClr="000000"/>
            </a:solidFill>
            <a:latin typeface="Arial Narrow" panose="020B0706020202030204" pitchFamily="34" charset="0"/>
          </a:endParaRPr>
        </a:p>
      </xdr:txBody>
    </xdr:sp>
    <xdr:clientData/>
  </xdr:twoCellAnchor>
  <xdr:twoCellAnchor>
    <xdr:from>
      <xdr:col>6</xdr:col>
      <xdr:colOff>58511</xdr:colOff>
      <xdr:row>47</xdr:row>
      <xdr:rowOff>94682</xdr:rowOff>
    </xdr:from>
    <xdr:to>
      <xdr:col>19</xdr:col>
      <xdr:colOff>41855</xdr:colOff>
      <xdr:row>48</xdr:row>
      <xdr:rowOff>121300</xdr:rowOff>
    </xdr:to>
    <xdr:sp macro="" textlink="">
      <xdr:nvSpPr>
        <xdr:cNvPr id="11" name="Flowchart: Manual Operation 6">
          <a:extLst>
            <a:ext uri="{FF2B5EF4-FFF2-40B4-BE49-F238E27FC236}">
              <a16:creationId xmlns:a16="http://schemas.microsoft.com/office/drawing/2014/main" id="{00000000-0008-0000-05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Other Charges Due Carrier</a:t>
          </a:r>
        </a:p>
      </xdr:txBody>
    </xdr:sp>
    <xdr:clientData/>
  </xdr:twoCellAnchor>
  <xdr:twoCellAnchor>
    <xdr:from>
      <xdr:col>0</xdr:col>
      <xdr:colOff>10160</xdr:colOff>
      <xdr:row>52</xdr:row>
      <xdr:rowOff>2969</xdr:rowOff>
    </xdr:from>
    <xdr:to>
      <xdr:col>12</xdr:col>
      <xdr:colOff>108958</xdr:colOff>
      <xdr:row>52</xdr:row>
      <xdr:rowOff>123393</xdr:rowOff>
    </xdr:to>
    <xdr:sp macro="" textlink="">
      <xdr:nvSpPr>
        <xdr:cNvPr id="12" name="Flowchart: Manual Operation 6">
          <a:extLst>
            <a:ext uri="{FF2B5EF4-FFF2-40B4-BE49-F238E27FC236}">
              <a16:creationId xmlns:a16="http://schemas.microsoft.com/office/drawing/2014/main" id="{00000000-0008-0000-05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Prepaid</a:t>
          </a:r>
        </a:p>
      </xdr:txBody>
    </xdr:sp>
    <xdr:clientData/>
  </xdr:twoCellAnchor>
  <xdr:twoCellAnchor>
    <xdr:from>
      <xdr:col>13</xdr:col>
      <xdr:colOff>7418</xdr:colOff>
      <xdr:row>52</xdr:row>
      <xdr:rowOff>1454</xdr:rowOff>
    </xdr:from>
    <xdr:to>
      <xdr:col>26</xdr:col>
      <xdr:colOff>107156</xdr:colOff>
      <xdr:row>52</xdr:row>
      <xdr:rowOff>121878</xdr:rowOff>
    </xdr:to>
    <xdr:sp macro="" textlink="">
      <xdr:nvSpPr>
        <xdr:cNvPr id="13" name="Flowchart: Manual Operation 6">
          <a:extLst>
            <a:ext uri="{FF2B5EF4-FFF2-40B4-BE49-F238E27FC236}">
              <a16:creationId xmlns:a16="http://schemas.microsoft.com/office/drawing/2014/main" id="{00000000-0008-0000-0500-00000D000000}"/>
            </a:ext>
          </a:extLst>
        </xdr:cNvPr>
        <xdr:cNvSpPr/>
      </xdr:nvSpPr>
      <xdr:spPr>
        <a:xfrm>
          <a:off x="1666240" y="941959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a:t>
          </a:r>
        </a:p>
      </xdr:txBody>
    </xdr:sp>
    <xdr:clientData/>
  </xdr:twoCellAnchor>
  <xdr:twoCellAnchor>
    <xdr:from>
      <xdr:col>0</xdr:col>
      <xdr:colOff>202</xdr:colOff>
      <xdr:row>54</xdr:row>
      <xdr:rowOff>1453</xdr:rowOff>
    </xdr:from>
    <xdr:to>
      <xdr:col>12</xdr:col>
      <xdr:colOff>99000</xdr:colOff>
      <xdr:row>54</xdr:row>
      <xdr:rowOff>121877</xdr:rowOff>
    </xdr:to>
    <xdr:sp macro="" textlink="">
      <xdr:nvSpPr>
        <xdr:cNvPr id="14" name="Flowchart: Manual Operation 6">
          <a:extLst>
            <a:ext uri="{FF2B5EF4-FFF2-40B4-BE49-F238E27FC236}">
              <a16:creationId xmlns:a16="http://schemas.microsoft.com/office/drawing/2014/main" id="{00000000-0008-0000-05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Currency Conversion Rates</a:t>
          </a:r>
        </a:p>
      </xdr:txBody>
    </xdr:sp>
    <xdr:clientData/>
  </xdr:twoCellAnchor>
  <xdr:twoCellAnchor>
    <xdr:from>
      <xdr:col>13</xdr:col>
      <xdr:colOff>7145</xdr:colOff>
      <xdr:row>54</xdr:row>
      <xdr:rowOff>2319</xdr:rowOff>
    </xdr:from>
    <xdr:to>
      <xdr:col>26</xdr:col>
      <xdr:colOff>109539</xdr:colOff>
      <xdr:row>54</xdr:row>
      <xdr:rowOff>122743</xdr:rowOff>
    </xdr:to>
    <xdr:sp macro="" textlink="">
      <xdr:nvSpPr>
        <xdr:cNvPr id="15" name="Flowchart: Manual Operation 6">
          <a:extLst>
            <a:ext uri="{FF2B5EF4-FFF2-40B4-BE49-F238E27FC236}">
              <a16:creationId xmlns:a16="http://schemas.microsoft.com/office/drawing/2014/main" id="{00000000-0008-0000-05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cc Charges in Dest. Currency</a:t>
          </a:r>
        </a:p>
      </xdr:txBody>
    </xdr:sp>
    <xdr:clientData/>
  </xdr:twoCellAnchor>
  <xdr:twoCellAnchor>
    <xdr:from>
      <xdr:col>13</xdr:col>
      <xdr:colOff>5541</xdr:colOff>
      <xdr:row>56</xdr:row>
      <xdr:rowOff>3185</xdr:rowOff>
    </xdr:from>
    <xdr:to>
      <xdr:col>26</xdr:col>
      <xdr:colOff>105497</xdr:colOff>
      <xdr:row>56</xdr:row>
      <xdr:rowOff>123609</xdr:rowOff>
    </xdr:to>
    <xdr:sp macro="" textlink="">
      <xdr:nvSpPr>
        <xdr:cNvPr id="16" name="Flowchart: Manual Operation 6">
          <a:extLst>
            <a:ext uri="{FF2B5EF4-FFF2-40B4-BE49-F238E27FC236}">
              <a16:creationId xmlns:a16="http://schemas.microsoft.com/office/drawing/2014/main" id="{00000000-0008-0000-05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Charges at Destination</a:t>
          </a:r>
        </a:p>
      </xdr:txBody>
    </xdr:sp>
    <xdr:clientData/>
  </xdr:twoCellAnchor>
  <xdr:twoCellAnchor>
    <xdr:from>
      <xdr:col>27</xdr:col>
      <xdr:colOff>13624</xdr:colOff>
      <xdr:row>56</xdr:row>
      <xdr:rowOff>1670</xdr:rowOff>
    </xdr:from>
    <xdr:to>
      <xdr:col>39</xdr:col>
      <xdr:colOff>104632</xdr:colOff>
      <xdr:row>56</xdr:row>
      <xdr:rowOff>122094</xdr:rowOff>
    </xdr:to>
    <xdr:sp macro="" textlink="">
      <xdr:nvSpPr>
        <xdr:cNvPr id="17" name="Flowchart: Manual Operation 6">
          <a:extLst>
            <a:ext uri="{FF2B5EF4-FFF2-40B4-BE49-F238E27FC236}">
              <a16:creationId xmlns:a16="http://schemas.microsoft.com/office/drawing/2014/main" id="{00000000-0008-0000-05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 Charges</a:t>
          </a:r>
        </a:p>
      </xdr:txBody>
    </xdr:sp>
    <xdr:clientData/>
  </xdr:twoCellAnchor>
  <xdr:twoCellAnchor>
    <xdr:from>
      <xdr:col>19</xdr:col>
      <xdr:colOff>0</xdr:colOff>
      <xdr:row>6</xdr:row>
      <xdr:rowOff>2381</xdr:rowOff>
    </xdr:from>
    <xdr:to>
      <xdr:col>33</xdr:col>
      <xdr:colOff>0</xdr:colOff>
      <xdr:row>7</xdr:row>
      <xdr:rowOff>188119</xdr:rowOff>
    </xdr:to>
    <xdr:sp macro="" textlink="">
      <xdr:nvSpPr>
        <xdr:cNvPr id="18" name="Rectangle 17">
          <a:extLst>
            <a:ext uri="{FF2B5EF4-FFF2-40B4-BE49-F238E27FC236}">
              <a16:creationId xmlns:a16="http://schemas.microsoft.com/office/drawing/2014/main" id="{00000000-0008-0000-0500-000012000000}"/>
            </a:ext>
          </a:extLst>
        </xdr:cNvPr>
        <xdr:cNvSpPr/>
      </xdr:nvSpPr>
      <xdr:spPr>
        <a:xfrm>
          <a:off x="2425065" y="1354455"/>
          <a:ext cx="1786890" cy="399415"/>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0</xdr:colOff>
      <xdr:row>1</xdr:row>
      <xdr:rowOff>0</xdr:rowOff>
    </xdr:from>
    <xdr:to>
      <xdr:col>32</xdr:col>
      <xdr:colOff>114299</xdr:colOff>
      <xdr:row>2</xdr:row>
      <xdr:rowOff>207169</xdr:rowOff>
    </xdr:to>
    <xdr:sp macro="" textlink="">
      <xdr:nvSpPr>
        <xdr:cNvPr id="20" name="Rectangle 19">
          <a:extLst>
            <a:ext uri="{FF2B5EF4-FFF2-40B4-BE49-F238E27FC236}">
              <a16:creationId xmlns:a16="http://schemas.microsoft.com/office/drawing/2014/main" id="{00000000-0008-0000-0500-000014000000}"/>
            </a:ext>
          </a:extLst>
        </xdr:cNvPr>
        <xdr:cNvSpPr/>
      </xdr:nvSpPr>
      <xdr:spPr>
        <a:xfrm>
          <a:off x="2425065" y="285750"/>
          <a:ext cx="1772920" cy="42037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30989</xdr:colOff>
      <xdr:row>23</xdr:row>
      <xdr:rowOff>0</xdr:rowOff>
    </xdr:from>
    <xdr:ext cx="6109365" cy="617220"/>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285750"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29</xdr:col>
      <xdr:colOff>70931</xdr:colOff>
      <xdr:row>40</xdr:row>
      <xdr:rowOff>121596</xdr:rowOff>
    </xdr:from>
    <xdr:ext cx="1369606" cy="817183"/>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3771900" y="7710805"/>
          <a:ext cx="1369695" cy="817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oneCellAnchor>
    <xdr:from>
      <xdr:col>45</xdr:col>
      <xdr:colOff>1</xdr:colOff>
      <xdr:row>27</xdr:row>
      <xdr:rowOff>60799</xdr:rowOff>
    </xdr:from>
    <xdr:ext cx="2796702" cy="2695372"/>
    <xdr:sp macro="" textlink="">
      <xdr:nvSpPr>
        <xdr:cNvPr id="22" name="TextBox 21">
          <a:extLst>
            <a:ext uri="{FF2B5EF4-FFF2-40B4-BE49-F238E27FC236}">
              <a16:creationId xmlns:a16="http://schemas.microsoft.com/office/drawing/2014/main" id="{E6CFB15F-3B6A-F7FB-6AA5-F9B995CC7C08}"/>
            </a:ext>
          </a:extLst>
        </xdr:cNvPr>
        <xdr:cNvSpPr txBox="1"/>
      </xdr:nvSpPr>
      <xdr:spPr>
        <a:xfrm>
          <a:off x="5015825" y="5380613"/>
          <a:ext cx="2796702" cy="2695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D" sz="1100">
              <a:solidFill>
                <a:schemeClr val="tx1"/>
              </a:solidFill>
              <a:effectLst/>
              <a:latin typeface="+mn-lt"/>
              <a:ea typeface="+mn-ea"/>
              <a:cs typeface="+mn-cs"/>
            </a:rPr>
            <a:t>COURIER SHIPMENT</a:t>
          </a:r>
          <a:endParaRPr lang="en-ID">
            <a:effectLst/>
          </a:endParaRPr>
        </a:p>
        <a:p>
          <a:r>
            <a:rPr lang="en-ID" sz="1100">
              <a:solidFill>
                <a:schemeClr val="tx1"/>
              </a:solidFill>
              <a:effectLst/>
              <a:latin typeface="+mn-lt"/>
              <a:ea typeface="+mn-ea"/>
              <a:cs typeface="+mn-cs"/>
            </a:rPr>
            <a:t>HS CODE: 63071090</a:t>
          </a:r>
          <a:endParaRPr lang="en-ID">
            <a:effectLst/>
          </a:endParaRPr>
        </a:p>
        <a:p>
          <a:r>
            <a:rPr lang="en-ID" sz="1100">
              <a:solidFill>
                <a:schemeClr val="tx1"/>
              </a:solidFill>
              <a:effectLst/>
              <a:latin typeface="+mn-lt"/>
              <a:ea typeface="+mn-ea"/>
              <a:cs typeface="+mn-cs"/>
            </a:rPr>
            <a:t>HS CODE: 56012290</a:t>
          </a:r>
          <a:endParaRPr lang="en-ID">
            <a:effectLst/>
          </a:endParaRPr>
        </a:p>
        <a:p>
          <a:r>
            <a:rPr lang="en-ID" sz="1100">
              <a:solidFill>
                <a:schemeClr val="tx1"/>
              </a:solidFill>
              <a:effectLst/>
              <a:latin typeface="+mn-lt"/>
              <a:ea typeface="+mn-ea"/>
              <a:cs typeface="+mn-cs"/>
            </a:rPr>
            <a:t>HS CODE: 33073000</a:t>
          </a:r>
          <a:endParaRPr lang="en-ID">
            <a:effectLst/>
          </a:endParaRPr>
        </a:p>
        <a:p>
          <a:r>
            <a:rPr lang="en-ID" sz="1100">
              <a:solidFill>
                <a:schemeClr val="tx1"/>
              </a:solidFill>
              <a:effectLst/>
              <a:latin typeface="+mn-lt"/>
              <a:ea typeface="+mn-ea"/>
              <a:cs typeface="+mn-cs"/>
            </a:rPr>
            <a:t>HS CODE: 62171090</a:t>
          </a:r>
          <a:endParaRPr lang="en-ID">
            <a:effectLst/>
          </a:endParaRPr>
        </a:p>
        <a:p>
          <a:r>
            <a:rPr lang="en-ID" sz="1100">
              <a:solidFill>
                <a:schemeClr val="tx1"/>
              </a:solidFill>
              <a:effectLst/>
              <a:latin typeface="+mn-lt"/>
              <a:ea typeface="+mn-ea"/>
              <a:cs typeface="+mn-cs"/>
            </a:rPr>
            <a:t>HS CODE: 19059090</a:t>
          </a:r>
          <a:endParaRPr lang="en-ID">
            <a:effectLst/>
          </a:endParaRPr>
        </a:p>
        <a:p>
          <a:r>
            <a:rPr lang="en-ID" sz="1100">
              <a:solidFill>
                <a:schemeClr val="tx1"/>
              </a:solidFill>
              <a:effectLst/>
              <a:latin typeface="+mn-lt"/>
              <a:ea typeface="+mn-ea"/>
              <a:cs typeface="+mn-cs"/>
            </a:rPr>
            <a:t>DIMS</a:t>
          </a:r>
          <a:endParaRPr lang="en-ID">
            <a:effectLst/>
          </a:endParaRPr>
        </a:p>
        <a:p>
          <a:r>
            <a:rPr lang="en-ID" sz="1100">
              <a:solidFill>
                <a:schemeClr val="tx1"/>
              </a:solidFill>
              <a:effectLst/>
              <a:latin typeface="+mn-lt"/>
              <a:ea typeface="+mn-ea"/>
              <a:cs typeface="+mn-cs"/>
            </a:rPr>
            <a:t>73X38X32 / 1 </a:t>
          </a:r>
          <a:r>
            <a:rPr lang="en-ID" sz="1100" baseline="0">
              <a:solidFill>
                <a:schemeClr val="tx1"/>
              </a:solidFill>
              <a:effectLst/>
              <a:latin typeface="+mn-lt"/>
              <a:ea typeface="+mn-ea"/>
              <a:cs typeface="+mn-cs"/>
            </a:rPr>
            <a:t> </a:t>
          </a:r>
          <a:r>
            <a:rPr lang="en-ID" sz="1100">
              <a:solidFill>
                <a:schemeClr val="tx1"/>
              </a:solidFill>
              <a:effectLst/>
              <a:latin typeface="+mn-lt"/>
              <a:ea typeface="+mn-ea"/>
              <a:cs typeface="+mn-cs"/>
            </a:rPr>
            <a:t> 77X38X26 / 1  74X34X25 / 1   80X40X30 / 1</a:t>
          </a:r>
          <a:r>
            <a:rPr lang="en-ID" sz="1100" baseline="0">
              <a:solidFill>
                <a:schemeClr val="tx1"/>
              </a:solidFill>
              <a:effectLst/>
              <a:latin typeface="+mn-lt"/>
              <a:ea typeface="+mn-ea"/>
              <a:cs typeface="+mn-cs"/>
            </a:rPr>
            <a:t>  </a:t>
          </a:r>
          <a:r>
            <a:rPr lang="en-ID" sz="1100">
              <a:solidFill>
                <a:schemeClr val="tx1"/>
              </a:solidFill>
              <a:effectLst/>
              <a:latin typeface="+mn-lt"/>
              <a:ea typeface="+mn-ea"/>
              <a:cs typeface="+mn-cs"/>
            </a:rPr>
            <a:t>70X60X20 / 2   65X40X25 / 3</a:t>
          </a:r>
          <a:endParaRPr lang="en-ID">
            <a:effectLst/>
          </a:endParaRPr>
        </a:p>
        <a:p>
          <a:r>
            <a:rPr lang="en-ID" sz="1100">
              <a:solidFill>
                <a:schemeClr val="tx1"/>
              </a:solidFill>
              <a:effectLst/>
              <a:latin typeface="+mn-lt"/>
              <a:ea typeface="+mn-ea"/>
              <a:cs typeface="+mn-cs"/>
            </a:rPr>
            <a:t>70X50X20 / 1   57X40X30 / 1</a:t>
          </a:r>
          <a:endParaRPr lang="en-ID">
            <a:effectLst/>
          </a:endParaRPr>
        </a:p>
        <a:p>
          <a:r>
            <a:rPr lang="en-ID" sz="1100">
              <a:solidFill>
                <a:schemeClr val="tx1"/>
              </a:solidFill>
              <a:effectLst/>
              <a:latin typeface="+mn-lt"/>
              <a:ea typeface="+mn-ea"/>
              <a:cs typeface="+mn-cs"/>
            </a:rPr>
            <a:t>50X40X20 / 2</a:t>
          </a:r>
          <a:r>
            <a:rPr lang="en-ID" sz="1100" baseline="0">
              <a:solidFill>
                <a:schemeClr val="tx1"/>
              </a:solidFill>
              <a:effectLst/>
              <a:latin typeface="+mn-lt"/>
              <a:ea typeface="+mn-ea"/>
              <a:cs typeface="+mn-cs"/>
            </a:rPr>
            <a:t> </a:t>
          </a:r>
          <a:r>
            <a:rPr lang="en-ID" sz="1100">
              <a:solidFill>
                <a:schemeClr val="tx1"/>
              </a:solidFill>
              <a:effectLst/>
              <a:latin typeface="+mn-lt"/>
              <a:ea typeface="+mn-ea"/>
              <a:cs typeface="+mn-cs"/>
            </a:rPr>
            <a:t>  75X40X30 / 2</a:t>
          </a:r>
          <a:endParaRPr lang="en-ID">
            <a:effectLst/>
          </a:endParaRPr>
        </a:p>
        <a:p>
          <a:r>
            <a:rPr lang="en-ID" sz="1100">
              <a:solidFill>
                <a:schemeClr val="tx1"/>
              </a:solidFill>
              <a:effectLst/>
              <a:latin typeface="+mn-lt"/>
              <a:ea typeface="+mn-ea"/>
              <a:cs typeface="+mn-cs"/>
            </a:rPr>
            <a:t>70X40X25 / 1   70X38X30 / 1</a:t>
          </a:r>
          <a:endParaRPr lang="en-ID">
            <a:effectLst/>
          </a:endParaRPr>
        </a:p>
        <a:p>
          <a:r>
            <a:rPr lang="en-ID" sz="1100">
              <a:solidFill>
                <a:schemeClr val="tx1"/>
              </a:solidFill>
              <a:effectLst/>
              <a:latin typeface="+mn-lt"/>
              <a:ea typeface="+mn-ea"/>
              <a:cs typeface="+mn-cs"/>
            </a:rPr>
            <a:t>77X38X26 / 1   40X35X23 / 1</a:t>
          </a:r>
          <a:endParaRPr lang="en-ID">
            <a:effectLst/>
          </a:endParaRPr>
        </a:p>
        <a:p>
          <a:r>
            <a:rPr lang="en-ID" sz="1100">
              <a:solidFill>
                <a:schemeClr val="tx1"/>
              </a:solidFill>
              <a:effectLst/>
              <a:latin typeface="+mn-lt"/>
              <a:ea typeface="+mn-ea"/>
              <a:cs typeface="+mn-cs"/>
            </a:rPr>
            <a:t>56X50X21 / 1   45X28X24 / 1</a:t>
          </a:r>
          <a:endParaRPr lang="en-ID">
            <a:effectLst/>
          </a:endParaRPr>
        </a:p>
        <a:p>
          <a:endParaRPr lang="en-ID"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600-000002000000}"/>
            </a:ext>
          </a:extLst>
        </xdr:cNvPr>
        <xdr:cNvCxnSpPr/>
      </xdr:nvCxnSpPr>
      <xdr:spPr>
        <a:xfrm flipV="1">
          <a:off x="3328035" y="5634990"/>
          <a:ext cx="883920" cy="461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6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6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For Carrier Use Only</a:t>
          </a:r>
        </a:p>
      </xdr:txBody>
    </xdr:sp>
    <xdr:clientData/>
  </xdr:twoCellAnchor>
  <xdr:twoCellAnchor>
    <xdr:from>
      <xdr:col>6</xdr:col>
      <xdr:colOff>58511</xdr:colOff>
      <xdr:row>35</xdr:row>
      <xdr:rowOff>0</xdr:rowOff>
    </xdr:from>
    <xdr:to>
      <xdr:col>19</xdr:col>
      <xdr:colOff>41855</xdr:colOff>
      <xdr:row>35</xdr:row>
      <xdr:rowOff>120009</xdr:rowOff>
    </xdr:to>
    <xdr:sp macro="" textlink="">
      <xdr:nvSpPr>
        <xdr:cNvPr id="5" name="Flowchart: Manual Operation 6">
          <a:extLst>
            <a:ext uri="{FF2B5EF4-FFF2-40B4-BE49-F238E27FC236}">
              <a16:creationId xmlns:a16="http://schemas.microsoft.com/office/drawing/2014/main" id="{00000000-0008-0000-0600-000005000000}"/>
            </a:ext>
          </a:extLst>
        </xdr:cNvPr>
        <xdr:cNvSpPr/>
      </xdr:nvSpPr>
      <xdr:spPr>
        <a:xfrm>
          <a:off x="824230" y="7589520"/>
          <a:ext cx="1642110" cy="11938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Weight Charges</a:t>
          </a:r>
        </a:p>
      </xdr:txBody>
    </xdr:sp>
    <xdr:clientData/>
  </xdr:twoCellAnchor>
  <xdr:twoCellAnchor>
    <xdr:from>
      <xdr:col>19</xdr:col>
      <xdr:colOff>57728</xdr:colOff>
      <xdr:row>35</xdr:row>
      <xdr:rowOff>1028</xdr:rowOff>
    </xdr:from>
    <xdr:to>
      <xdr:col>26</xdr:col>
      <xdr:colOff>111920</xdr:colOff>
      <xdr:row>35</xdr:row>
      <xdr:rowOff>123328</xdr:rowOff>
    </xdr:to>
    <xdr:sp macro="" textlink="">
      <xdr:nvSpPr>
        <xdr:cNvPr id="6" name="Flowchart: Manual Operation 6">
          <a:extLst>
            <a:ext uri="{FF2B5EF4-FFF2-40B4-BE49-F238E27FC236}">
              <a16:creationId xmlns:a16="http://schemas.microsoft.com/office/drawing/2014/main" id="{00000000-0008-0000-06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Collect</a:t>
          </a:r>
        </a:p>
      </xdr:txBody>
    </xdr:sp>
    <xdr:clientData/>
  </xdr:twoCellAnchor>
  <xdr:twoCellAnchor>
    <xdr:from>
      <xdr:col>0</xdr:col>
      <xdr:colOff>0</xdr:colOff>
      <xdr:row>35</xdr:row>
      <xdr:rowOff>2111</xdr:rowOff>
    </xdr:from>
    <xdr:to>
      <xdr:col>6</xdr:col>
      <xdr:colOff>50512</xdr:colOff>
      <xdr:row>35</xdr:row>
      <xdr:rowOff>112721</xdr:rowOff>
    </xdr:to>
    <xdr:sp macro="" textlink="">
      <xdr:nvSpPr>
        <xdr:cNvPr id="7" name="Flowchart: Manual Operation 6">
          <a:extLst>
            <a:ext uri="{FF2B5EF4-FFF2-40B4-BE49-F238E27FC236}">
              <a16:creationId xmlns:a16="http://schemas.microsoft.com/office/drawing/2014/main" id="{00000000-0008-0000-06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Prepaid</a:t>
          </a:r>
        </a:p>
      </xdr:txBody>
    </xdr:sp>
    <xdr:clientData/>
  </xdr:twoCellAnchor>
  <xdr:twoCellAnchor>
    <xdr:from>
      <xdr:col>6</xdr:col>
      <xdr:colOff>57934</xdr:colOff>
      <xdr:row>37</xdr:row>
      <xdr:rowOff>3113</xdr:rowOff>
    </xdr:from>
    <xdr:to>
      <xdr:col>19</xdr:col>
      <xdr:colOff>42433</xdr:colOff>
      <xdr:row>37</xdr:row>
      <xdr:rowOff>123537</xdr:rowOff>
    </xdr:to>
    <xdr:sp macro="" textlink="">
      <xdr:nvSpPr>
        <xdr:cNvPr id="8" name="Flowchart: Manual Operation 6">
          <a:extLst>
            <a:ext uri="{FF2B5EF4-FFF2-40B4-BE49-F238E27FC236}">
              <a16:creationId xmlns:a16="http://schemas.microsoft.com/office/drawing/2014/main" id="{00000000-0008-0000-06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Valuation Charge</a:t>
          </a:r>
        </a:p>
      </xdr:txBody>
    </xdr:sp>
    <xdr:clientData/>
  </xdr:twoCellAnchor>
  <xdr:twoCellAnchor>
    <xdr:from>
      <xdr:col>6</xdr:col>
      <xdr:colOff>58511</xdr:colOff>
      <xdr:row>39</xdr:row>
      <xdr:rowOff>3978</xdr:rowOff>
    </xdr:from>
    <xdr:to>
      <xdr:col>19</xdr:col>
      <xdr:colOff>41855</xdr:colOff>
      <xdr:row>39</xdr:row>
      <xdr:rowOff>124402</xdr:rowOff>
    </xdr:to>
    <xdr:sp macro="" textlink="">
      <xdr:nvSpPr>
        <xdr:cNvPr id="9" name="Flowchart: Manual Operation 6">
          <a:extLst>
            <a:ext uri="{FF2B5EF4-FFF2-40B4-BE49-F238E27FC236}">
              <a16:creationId xmlns:a16="http://schemas.microsoft.com/office/drawing/2014/main" id="{00000000-0008-0000-06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Tax</a:t>
          </a:r>
        </a:p>
      </xdr:txBody>
    </xdr:sp>
    <xdr:clientData/>
  </xdr:twoCellAnchor>
  <xdr:twoCellAnchor>
    <xdr:from>
      <xdr:col>6</xdr:col>
      <xdr:colOff>58511</xdr:colOff>
      <xdr:row>41</xdr:row>
      <xdr:rowOff>2463</xdr:rowOff>
    </xdr:from>
    <xdr:to>
      <xdr:col>19</xdr:col>
      <xdr:colOff>41855</xdr:colOff>
      <xdr:row>41</xdr:row>
      <xdr:rowOff>122887</xdr:rowOff>
    </xdr:to>
    <xdr:sp macro="" textlink="">
      <xdr:nvSpPr>
        <xdr:cNvPr id="10" name="Flowchart: Manual Operation 6">
          <a:extLst>
            <a:ext uri="{FF2B5EF4-FFF2-40B4-BE49-F238E27FC236}">
              <a16:creationId xmlns:a16="http://schemas.microsoft.com/office/drawing/2014/main" id="{00000000-0008-0000-06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a:t>
          </a:r>
          <a:r>
            <a:rPr lang="en-ID" sz="600" b="1" baseline="0">
              <a:solidFill>
                <a:sysClr val="windowText" lastClr="000000"/>
              </a:solidFill>
              <a:latin typeface="Arial Narrow" panose="020B0706020202030204" pitchFamily="34" charset="0"/>
            </a:rPr>
            <a:t> Other Charges Due Agent</a:t>
          </a:r>
          <a:endParaRPr lang="en-ID" sz="600" b="1">
            <a:solidFill>
              <a:sysClr val="windowText" lastClr="000000"/>
            </a:solidFill>
            <a:latin typeface="Arial Narrow" panose="020B0706020202030204" pitchFamily="34" charset="0"/>
          </a:endParaRPr>
        </a:p>
      </xdr:txBody>
    </xdr:sp>
    <xdr:clientData/>
  </xdr:twoCellAnchor>
  <xdr:twoCellAnchor>
    <xdr:from>
      <xdr:col>6</xdr:col>
      <xdr:colOff>58511</xdr:colOff>
      <xdr:row>42</xdr:row>
      <xdr:rowOff>94682</xdr:rowOff>
    </xdr:from>
    <xdr:to>
      <xdr:col>19</xdr:col>
      <xdr:colOff>41855</xdr:colOff>
      <xdr:row>43</xdr:row>
      <xdr:rowOff>121300</xdr:rowOff>
    </xdr:to>
    <xdr:sp macro="" textlink="">
      <xdr:nvSpPr>
        <xdr:cNvPr id="11" name="Flowchart: Manual Operation 6">
          <a:extLst>
            <a:ext uri="{FF2B5EF4-FFF2-40B4-BE49-F238E27FC236}">
              <a16:creationId xmlns:a16="http://schemas.microsoft.com/office/drawing/2014/main" id="{00000000-0008-0000-06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Other Charges Due Carrier</a:t>
          </a:r>
        </a:p>
      </xdr:txBody>
    </xdr:sp>
    <xdr:clientData/>
  </xdr:twoCellAnchor>
  <xdr:twoCellAnchor>
    <xdr:from>
      <xdr:col>0</xdr:col>
      <xdr:colOff>10160</xdr:colOff>
      <xdr:row>47</xdr:row>
      <xdr:rowOff>2969</xdr:rowOff>
    </xdr:from>
    <xdr:to>
      <xdr:col>12</xdr:col>
      <xdr:colOff>108958</xdr:colOff>
      <xdr:row>47</xdr:row>
      <xdr:rowOff>123393</xdr:rowOff>
    </xdr:to>
    <xdr:sp macro="" textlink="">
      <xdr:nvSpPr>
        <xdr:cNvPr id="12" name="Flowchart: Manual Operation 6">
          <a:extLst>
            <a:ext uri="{FF2B5EF4-FFF2-40B4-BE49-F238E27FC236}">
              <a16:creationId xmlns:a16="http://schemas.microsoft.com/office/drawing/2014/main" id="{00000000-0008-0000-06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Prepaid</a:t>
          </a:r>
        </a:p>
      </xdr:txBody>
    </xdr:sp>
    <xdr:clientData/>
  </xdr:twoCellAnchor>
  <xdr:twoCellAnchor>
    <xdr:from>
      <xdr:col>13</xdr:col>
      <xdr:colOff>7418</xdr:colOff>
      <xdr:row>47</xdr:row>
      <xdr:rowOff>1454</xdr:rowOff>
    </xdr:from>
    <xdr:to>
      <xdr:col>26</xdr:col>
      <xdr:colOff>107156</xdr:colOff>
      <xdr:row>47</xdr:row>
      <xdr:rowOff>121878</xdr:rowOff>
    </xdr:to>
    <xdr:sp macro="" textlink="">
      <xdr:nvSpPr>
        <xdr:cNvPr id="13" name="Flowchart: Manual Operation 6">
          <a:extLst>
            <a:ext uri="{FF2B5EF4-FFF2-40B4-BE49-F238E27FC236}">
              <a16:creationId xmlns:a16="http://schemas.microsoft.com/office/drawing/2014/main" id="{00000000-0008-0000-0600-00000D000000}"/>
            </a:ext>
          </a:extLst>
        </xdr:cNvPr>
        <xdr:cNvSpPr/>
      </xdr:nvSpPr>
      <xdr:spPr>
        <a:xfrm>
          <a:off x="1666240" y="941959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a:t>
          </a:r>
        </a:p>
      </xdr:txBody>
    </xdr:sp>
    <xdr:clientData/>
  </xdr:twoCellAnchor>
  <xdr:twoCellAnchor>
    <xdr:from>
      <xdr:col>0</xdr:col>
      <xdr:colOff>202</xdr:colOff>
      <xdr:row>49</xdr:row>
      <xdr:rowOff>1453</xdr:rowOff>
    </xdr:from>
    <xdr:to>
      <xdr:col>12</xdr:col>
      <xdr:colOff>99000</xdr:colOff>
      <xdr:row>49</xdr:row>
      <xdr:rowOff>121877</xdr:rowOff>
    </xdr:to>
    <xdr:sp macro="" textlink="">
      <xdr:nvSpPr>
        <xdr:cNvPr id="14" name="Flowchart: Manual Operation 6">
          <a:extLst>
            <a:ext uri="{FF2B5EF4-FFF2-40B4-BE49-F238E27FC236}">
              <a16:creationId xmlns:a16="http://schemas.microsoft.com/office/drawing/2014/main" id="{00000000-0008-0000-06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Currency Conversion Rates</a:t>
          </a:r>
        </a:p>
      </xdr:txBody>
    </xdr:sp>
    <xdr:clientData/>
  </xdr:twoCellAnchor>
  <xdr:twoCellAnchor>
    <xdr:from>
      <xdr:col>13</xdr:col>
      <xdr:colOff>7145</xdr:colOff>
      <xdr:row>49</xdr:row>
      <xdr:rowOff>2319</xdr:rowOff>
    </xdr:from>
    <xdr:to>
      <xdr:col>26</xdr:col>
      <xdr:colOff>109539</xdr:colOff>
      <xdr:row>49</xdr:row>
      <xdr:rowOff>122743</xdr:rowOff>
    </xdr:to>
    <xdr:sp macro="" textlink="">
      <xdr:nvSpPr>
        <xdr:cNvPr id="15" name="Flowchart: Manual Operation 6">
          <a:extLst>
            <a:ext uri="{FF2B5EF4-FFF2-40B4-BE49-F238E27FC236}">
              <a16:creationId xmlns:a16="http://schemas.microsoft.com/office/drawing/2014/main" id="{00000000-0008-0000-06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cc Charges in Dest. Currency</a:t>
          </a:r>
        </a:p>
      </xdr:txBody>
    </xdr:sp>
    <xdr:clientData/>
  </xdr:twoCellAnchor>
  <xdr:twoCellAnchor>
    <xdr:from>
      <xdr:col>13</xdr:col>
      <xdr:colOff>5541</xdr:colOff>
      <xdr:row>51</xdr:row>
      <xdr:rowOff>3185</xdr:rowOff>
    </xdr:from>
    <xdr:to>
      <xdr:col>26</xdr:col>
      <xdr:colOff>105497</xdr:colOff>
      <xdr:row>51</xdr:row>
      <xdr:rowOff>123609</xdr:rowOff>
    </xdr:to>
    <xdr:sp macro="" textlink="">
      <xdr:nvSpPr>
        <xdr:cNvPr id="16" name="Flowchart: Manual Operation 6">
          <a:extLst>
            <a:ext uri="{FF2B5EF4-FFF2-40B4-BE49-F238E27FC236}">
              <a16:creationId xmlns:a16="http://schemas.microsoft.com/office/drawing/2014/main" id="{00000000-0008-0000-06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Charges at Destination</a:t>
          </a:r>
        </a:p>
      </xdr:txBody>
    </xdr:sp>
    <xdr:clientData/>
  </xdr:twoCellAnchor>
  <xdr:twoCellAnchor>
    <xdr:from>
      <xdr:col>27</xdr:col>
      <xdr:colOff>13624</xdr:colOff>
      <xdr:row>51</xdr:row>
      <xdr:rowOff>1670</xdr:rowOff>
    </xdr:from>
    <xdr:to>
      <xdr:col>39</xdr:col>
      <xdr:colOff>104632</xdr:colOff>
      <xdr:row>51</xdr:row>
      <xdr:rowOff>122094</xdr:rowOff>
    </xdr:to>
    <xdr:sp macro="" textlink="">
      <xdr:nvSpPr>
        <xdr:cNvPr id="17" name="Flowchart: Manual Operation 6">
          <a:extLst>
            <a:ext uri="{FF2B5EF4-FFF2-40B4-BE49-F238E27FC236}">
              <a16:creationId xmlns:a16="http://schemas.microsoft.com/office/drawing/2014/main" id="{00000000-0008-0000-06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 Charges</a:t>
          </a:r>
        </a:p>
      </xdr:txBody>
    </xdr:sp>
    <xdr:clientData/>
  </xdr:twoCellAnchor>
  <xdr:twoCellAnchor>
    <xdr:from>
      <xdr:col>19</xdr:col>
      <xdr:colOff>0</xdr:colOff>
      <xdr:row>6</xdr:row>
      <xdr:rowOff>2381</xdr:rowOff>
    </xdr:from>
    <xdr:to>
      <xdr:col>33</xdr:col>
      <xdr:colOff>0</xdr:colOff>
      <xdr:row>7</xdr:row>
      <xdr:rowOff>188119</xdr:rowOff>
    </xdr:to>
    <xdr:sp macro="" textlink="">
      <xdr:nvSpPr>
        <xdr:cNvPr id="18" name="Rectangle 17">
          <a:extLst>
            <a:ext uri="{FF2B5EF4-FFF2-40B4-BE49-F238E27FC236}">
              <a16:creationId xmlns:a16="http://schemas.microsoft.com/office/drawing/2014/main" id="{00000000-0008-0000-0600-000012000000}"/>
            </a:ext>
          </a:extLst>
        </xdr:cNvPr>
        <xdr:cNvSpPr/>
      </xdr:nvSpPr>
      <xdr:spPr>
        <a:xfrm>
          <a:off x="2425065" y="1354455"/>
          <a:ext cx="1786890" cy="399415"/>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0</xdr:colOff>
      <xdr:row>1</xdr:row>
      <xdr:rowOff>0</xdr:rowOff>
    </xdr:from>
    <xdr:to>
      <xdr:col>33</xdr:col>
      <xdr:colOff>0</xdr:colOff>
      <xdr:row>3</xdr:row>
      <xdr:rowOff>0</xdr:rowOff>
    </xdr:to>
    <xdr:sp macro="" textlink="">
      <xdr:nvSpPr>
        <xdr:cNvPr id="19" name="Rectangle 18">
          <a:extLst>
            <a:ext uri="{FF2B5EF4-FFF2-40B4-BE49-F238E27FC236}">
              <a16:creationId xmlns:a16="http://schemas.microsoft.com/office/drawing/2014/main" id="{00000000-0008-0000-0600-000013000000}"/>
            </a:ext>
          </a:extLst>
        </xdr:cNvPr>
        <xdr:cNvSpPr/>
      </xdr:nvSpPr>
      <xdr:spPr>
        <a:xfrm>
          <a:off x="2425065" y="285750"/>
          <a:ext cx="1786890" cy="42672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30807</xdr:colOff>
      <xdr:row>23</xdr:row>
      <xdr:rowOff>0</xdr:rowOff>
    </xdr:from>
    <xdr:ext cx="6109365" cy="617220"/>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285750"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8581</xdr:colOff>
      <xdr:row>35</xdr:row>
      <xdr:rowOff>137298</xdr:rowOff>
    </xdr:from>
    <xdr:ext cx="1369606" cy="817183"/>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3837305" y="7726680"/>
          <a:ext cx="1369695" cy="817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700-000002000000}"/>
            </a:ext>
          </a:extLst>
        </xdr:cNvPr>
        <xdr:cNvCxnSpPr/>
      </xdr:nvCxnSpPr>
      <xdr:spPr>
        <a:xfrm flipV="1">
          <a:off x="3328035" y="5634990"/>
          <a:ext cx="883920" cy="461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7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7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For Carrier Use Only</a:t>
          </a:r>
        </a:p>
      </xdr:txBody>
    </xdr:sp>
    <xdr:clientData/>
  </xdr:twoCellAnchor>
  <xdr:twoCellAnchor>
    <xdr:from>
      <xdr:col>6</xdr:col>
      <xdr:colOff>58511</xdr:colOff>
      <xdr:row>35</xdr:row>
      <xdr:rowOff>0</xdr:rowOff>
    </xdr:from>
    <xdr:to>
      <xdr:col>19</xdr:col>
      <xdr:colOff>41855</xdr:colOff>
      <xdr:row>35</xdr:row>
      <xdr:rowOff>120009</xdr:rowOff>
    </xdr:to>
    <xdr:sp macro="" textlink="">
      <xdr:nvSpPr>
        <xdr:cNvPr id="5" name="Flowchart: Manual Operation 6">
          <a:extLst>
            <a:ext uri="{FF2B5EF4-FFF2-40B4-BE49-F238E27FC236}">
              <a16:creationId xmlns:a16="http://schemas.microsoft.com/office/drawing/2014/main" id="{00000000-0008-0000-0700-000005000000}"/>
            </a:ext>
          </a:extLst>
        </xdr:cNvPr>
        <xdr:cNvSpPr/>
      </xdr:nvSpPr>
      <xdr:spPr>
        <a:xfrm>
          <a:off x="824230" y="7589520"/>
          <a:ext cx="1642110" cy="11938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Weight Charges</a:t>
          </a:r>
        </a:p>
      </xdr:txBody>
    </xdr:sp>
    <xdr:clientData/>
  </xdr:twoCellAnchor>
  <xdr:twoCellAnchor>
    <xdr:from>
      <xdr:col>19</xdr:col>
      <xdr:colOff>57728</xdr:colOff>
      <xdr:row>35</xdr:row>
      <xdr:rowOff>1028</xdr:rowOff>
    </xdr:from>
    <xdr:to>
      <xdr:col>26</xdr:col>
      <xdr:colOff>111920</xdr:colOff>
      <xdr:row>35</xdr:row>
      <xdr:rowOff>123328</xdr:rowOff>
    </xdr:to>
    <xdr:sp macro="" textlink="">
      <xdr:nvSpPr>
        <xdr:cNvPr id="6" name="Flowchart: Manual Operation 6">
          <a:extLst>
            <a:ext uri="{FF2B5EF4-FFF2-40B4-BE49-F238E27FC236}">
              <a16:creationId xmlns:a16="http://schemas.microsoft.com/office/drawing/2014/main" id="{00000000-0008-0000-07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Collect</a:t>
          </a:r>
        </a:p>
      </xdr:txBody>
    </xdr:sp>
    <xdr:clientData/>
  </xdr:twoCellAnchor>
  <xdr:twoCellAnchor>
    <xdr:from>
      <xdr:col>0</xdr:col>
      <xdr:colOff>0</xdr:colOff>
      <xdr:row>35</xdr:row>
      <xdr:rowOff>2111</xdr:rowOff>
    </xdr:from>
    <xdr:to>
      <xdr:col>6</xdr:col>
      <xdr:colOff>50512</xdr:colOff>
      <xdr:row>35</xdr:row>
      <xdr:rowOff>112721</xdr:rowOff>
    </xdr:to>
    <xdr:sp macro="" textlink="">
      <xdr:nvSpPr>
        <xdr:cNvPr id="7" name="Flowchart: Manual Operation 6">
          <a:extLst>
            <a:ext uri="{FF2B5EF4-FFF2-40B4-BE49-F238E27FC236}">
              <a16:creationId xmlns:a16="http://schemas.microsoft.com/office/drawing/2014/main" id="{00000000-0008-0000-07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Prepaid</a:t>
          </a:r>
        </a:p>
      </xdr:txBody>
    </xdr:sp>
    <xdr:clientData/>
  </xdr:twoCellAnchor>
  <xdr:twoCellAnchor>
    <xdr:from>
      <xdr:col>6</xdr:col>
      <xdr:colOff>57934</xdr:colOff>
      <xdr:row>37</xdr:row>
      <xdr:rowOff>3113</xdr:rowOff>
    </xdr:from>
    <xdr:to>
      <xdr:col>19</xdr:col>
      <xdr:colOff>42433</xdr:colOff>
      <xdr:row>37</xdr:row>
      <xdr:rowOff>123537</xdr:rowOff>
    </xdr:to>
    <xdr:sp macro="" textlink="">
      <xdr:nvSpPr>
        <xdr:cNvPr id="8" name="Flowchart: Manual Operation 6">
          <a:extLst>
            <a:ext uri="{FF2B5EF4-FFF2-40B4-BE49-F238E27FC236}">
              <a16:creationId xmlns:a16="http://schemas.microsoft.com/office/drawing/2014/main" id="{00000000-0008-0000-07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Valuation Charge</a:t>
          </a:r>
        </a:p>
      </xdr:txBody>
    </xdr:sp>
    <xdr:clientData/>
  </xdr:twoCellAnchor>
  <xdr:twoCellAnchor>
    <xdr:from>
      <xdr:col>6</xdr:col>
      <xdr:colOff>58511</xdr:colOff>
      <xdr:row>39</xdr:row>
      <xdr:rowOff>3978</xdr:rowOff>
    </xdr:from>
    <xdr:to>
      <xdr:col>19</xdr:col>
      <xdr:colOff>41855</xdr:colOff>
      <xdr:row>39</xdr:row>
      <xdr:rowOff>124402</xdr:rowOff>
    </xdr:to>
    <xdr:sp macro="" textlink="">
      <xdr:nvSpPr>
        <xdr:cNvPr id="9" name="Flowchart: Manual Operation 6">
          <a:extLst>
            <a:ext uri="{FF2B5EF4-FFF2-40B4-BE49-F238E27FC236}">
              <a16:creationId xmlns:a16="http://schemas.microsoft.com/office/drawing/2014/main" id="{00000000-0008-0000-07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Tax</a:t>
          </a:r>
        </a:p>
      </xdr:txBody>
    </xdr:sp>
    <xdr:clientData/>
  </xdr:twoCellAnchor>
  <xdr:twoCellAnchor>
    <xdr:from>
      <xdr:col>6</xdr:col>
      <xdr:colOff>58511</xdr:colOff>
      <xdr:row>41</xdr:row>
      <xdr:rowOff>2463</xdr:rowOff>
    </xdr:from>
    <xdr:to>
      <xdr:col>19</xdr:col>
      <xdr:colOff>41855</xdr:colOff>
      <xdr:row>41</xdr:row>
      <xdr:rowOff>122887</xdr:rowOff>
    </xdr:to>
    <xdr:sp macro="" textlink="">
      <xdr:nvSpPr>
        <xdr:cNvPr id="10" name="Flowchart: Manual Operation 6">
          <a:extLst>
            <a:ext uri="{FF2B5EF4-FFF2-40B4-BE49-F238E27FC236}">
              <a16:creationId xmlns:a16="http://schemas.microsoft.com/office/drawing/2014/main" id="{00000000-0008-0000-07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a:t>
          </a:r>
          <a:r>
            <a:rPr lang="en-ID" sz="600" b="1" baseline="0">
              <a:solidFill>
                <a:sysClr val="windowText" lastClr="000000"/>
              </a:solidFill>
              <a:latin typeface="Arial Narrow" panose="020B0706020202030204" pitchFamily="34" charset="0"/>
            </a:rPr>
            <a:t> Other Charges Due Agent</a:t>
          </a:r>
          <a:endParaRPr lang="en-ID" sz="600" b="1">
            <a:solidFill>
              <a:sysClr val="windowText" lastClr="000000"/>
            </a:solidFill>
            <a:latin typeface="Arial Narrow" panose="020B0706020202030204" pitchFamily="34" charset="0"/>
          </a:endParaRPr>
        </a:p>
      </xdr:txBody>
    </xdr:sp>
    <xdr:clientData/>
  </xdr:twoCellAnchor>
  <xdr:twoCellAnchor>
    <xdr:from>
      <xdr:col>6</xdr:col>
      <xdr:colOff>58511</xdr:colOff>
      <xdr:row>42</xdr:row>
      <xdr:rowOff>94682</xdr:rowOff>
    </xdr:from>
    <xdr:to>
      <xdr:col>19</xdr:col>
      <xdr:colOff>41855</xdr:colOff>
      <xdr:row>43</xdr:row>
      <xdr:rowOff>121300</xdr:rowOff>
    </xdr:to>
    <xdr:sp macro="" textlink="">
      <xdr:nvSpPr>
        <xdr:cNvPr id="11" name="Flowchart: Manual Operation 6">
          <a:extLst>
            <a:ext uri="{FF2B5EF4-FFF2-40B4-BE49-F238E27FC236}">
              <a16:creationId xmlns:a16="http://schemas.microsoft.com/office/drawing/2014/main" id="{00000000-0008-0000-07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Other Charges Due Carrier</a:t>
          </a:r>
        </a:p>
      </xdr:txBody>
    </xdr:sp>
    <xdr:clientData/>
  </xdr:twoCellAnchor>
  <xdr:twoCellAnchor>
    <xdr:from>
      <xdr:col>0</xdr:col>
      <xdr:colOff>10160</xdr:colOff>
      <xdr:row>47</xdr:row>
      <xdr:rowOff>2969</xdr:rowOff>
    </xdr:from>
    <xdr:to>
      <xdr:col>12</xdr:col>
      <xdr:colOff>108958</xdr:colOff>
      <xdr:row>47</xdr:row>
      <xdr:rowOff>123393</xdr:rowOff>
    </xdr:to>
    <xdr:sp macro="" textlink="">
      <xdr:nvSpPr>
        <xdr:cNvPr id="12" name="Flowchart: Manual Operation 6">
          <a:extLst>
            <a:ext uri="{FF2B5EF4-FFF2-40B4-BE49-F238E27FC236}">
              <a16:creationId xmlns:a16="http://schemas.microsoft.com/office/drawing/2014/main" id="{00000000-0008-0000-07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Prepaid</a:t>
          </a:r>
        </a:p>
      </xdr:txBody>
    </xdr:sp>
    <xdr:clientData/>
  </xdr:twoCellAnchor>
  <xdr:twoCellAnchor>
    <xdr:from>
      <xdr:col>13</xdr:col>
      <xdr:colOff>7418</xdr:colOff>
      <xdr:row>47</xdr:row>
      <xdr:rowOff>1454</xdr:rowOff>
    </xdr:from>
    <xdr:to>
      <xdr:col>26</xdr:col>
      <xdr:colOff>107156</xdr:colOff>
      <xdr:row>47</xdr:row>
      <xdr:rowOff>121878</xdr:rowOff>
    </xdr:to>
    <xdr:sp macro="" textlink="">
      <xdr:nvSpPr>
        <xdr:cNvPr id="13" name="Flowchart: Manual Operation 6">
          <a:extLst>
            <a:ext uri="{FF2B5EF4-FFF2-40B4-BE49-F238E27FC236}">
              <a16:creationId xmlns:a16="http://schemas.microsoft.com/office/drawing/2014/main" id="{00000000-0008-0000-0700-00000D000000}"/>
            </a:ext>
          </a:extLst>
        </xdr:cNvPr>
        <xdr:cNvSpPr/>
      </xdr:nvSpPr>
      <xdr:spPr>
        <a:xfrm>
          <a:off x="1666240" y="941959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a:t>
          </a:r>
        </a:p>
      </xdr:txBody>
    </xdr:sp>
    <xdr:clientData/>
  </xdr:twoCellAnchor>
  <xdr:twoCellAnchor>
    <xdr:from>
      <xdr:col>0</xdr:col>
      <xdr:colOff>202</xdr:colOff>
      <xdr:row>49</xdr:row>
      <xdr:rowOff>1453</xdr:rowOff>
    </xdr:from>
    <xdr:to>
      <xdr:col>12</xdr:col>
      <xdr:colOff>99000</xdr:colOff>
      <xdr:row>49</xdr:row>
      <xdr:rowOff>121877</xdr:rowOff>
    </xdr:to>
    <xdr:sp macro="" textlink="">
      <xdr:nvSpPr>
        <xdr:cNvPr id="14" name="Flowchart: Manual Operation 6">
          <a:extLst>
            <a:ext uri="{FF2B5EF4-FFF2-40B4-BE49-F238E27FC236}">
              <a16:creationId xmlns:a16="http://schemas.microsoft.com/office/drawing/2014/main" id="{00000000-0008-0000-07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Currency Conversion Rates</a:t>
          </a:r>
        </a:p>
      </xdr:txBody>
    </xdr:sp>
    <xdr:clientData/>
  </xdr:twoCellAnchor>
  <xdr:twoCellAnchor>
    <xdr:from>
      <xdr:col>13</xdr:col>
      <xdr:colOff>7145</xdr:colOff>
      <xdr:row>49</xdr:row>
      <xdr:rowOff>2319</xdr:rowOff>
    </xdr:from>
    <xdr:to>
      <xdr:col>26</xdr:col>
      <xdr:colOff>109539</xdr:colOff>
      <xdr:row>49</xdr:row>
      <xdr:rowOff>122743</xdr:rowOff>
    </xdr:to>
    <xdr:sp macro="" textlink="">
      <xdr:nvSpPr>
        <xdr:cNvPr id="15" name="Flowchart: Manual Operation 6">
          <a:extLst>
            <a:ext uri="{FF2B5EF4-FFF2-40B4-BE49-F238E27FC236}">
              <a16:creationId xmlns:a16="http://schemas.microsoft.com/office/drawing/2014/main" id="{00000000-0008-0000-07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cc Charges in Dest. Currency</a:t>
          </a:r>
        </a:p>
      </xdr:txBody>
    </xdr:sp>
    <xdr:clientData/>
  </xdr:twoCellAnchor>
  <xdr:twoCellAnchor>
    <xdr:from>
      <xdr:col>13</xdr:col>
      <xdr:colOff>5541</xdr:colOff>
      <xdr:row>51</xdr:row>
      <xdr:rowOff>3185</xdr:rowOff>
    </xdr:from>
    <xdr:to>
      <xdr:col>26</xdr:col>
      <xdr:colOff>105497</xdr:colOff>
      <xdr:row>51</xdr:row>
      <xdr:rowOff>123609</xdr:rowOff>
    </xdr:to>
    <xdr:sp macro="" textlink="">
      <xdr:nvSpPr>
        <xdr:cNvPr id="16" name="Flowchart: Manual Operation 6">
          <a:extLst>
            <a:ext uri="{FF2B5EF4-FFF2-40B4-BE49-F238E27FC236}">
              <a16:creationId xmlns:a16="http://schemas.microsoft.com/office/drawing/2014/main" id="{00000000-0008-0000-07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Charges at Destination</a:t>
          </a:r>
        </a:p>
      </xdr:txBody>
    </xdr:sp>
    <xdr:clientData/>
  </xdr:twoCellAnchor>
  <xdr:twoCellAnchor>
    <xdr:from>
      <xdr:col>27</xdr:col>
      <xdr:colOff>13624</xdr:colOff>
      <xdr:row>51</xdr:row>
      <xdr:rowOff>1670</xdr:rowOff>
    </xdr:from>
    <xdr:to>
      <xdr:col>39</xdr:col>
      <xdr:colOff>104632</xdr:colOff>
      <xdr:row>51</xdr:row>
      <xdr:rowOff>122094</xdr:rowOff>
    </xdr:to>
    <xdr:sp macro="" textlink="">
      <xdr:nvSpPr>
        <xdr:cNvPr id="17" name="Flowchart: Manual Operation 6">
          <a:extLst>
            <a:ext uri="{FF2B5EF4-FFF2-40B4-BE49-F238E27FC236}">
              <a16:creationId xmlns:a16="http://schemas.microsoft.com/office/drawing/2014/main" id="{00000000-0008-0000-07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 Charges</a:t>
          </a:r>
        </a:p>
      </xdr:txBody>
    </xdr:sp>
    <xdr:clientData/>
  </xdr:twoCellAnchor>
  <xdr:twoCellAnchor>
    <xdr:from>
      <xdr:col>19</xdr:col>
      <xdr:colOff>0</xdr:colOff>
      <xdr:row>6</xdr:row>
      <xdr:rowOff>0</xdr:rowOff>
    </xdr:from>
    <xdr:to>
      <xdr:col>33</xdr:col>
      <xdr:colOff>0</xdr:colOff>
      <xdr:row>7</xdr:row>
      <xdr:rowOff>198472</xdr:rowOff>
    </xdr:to>
    <xdr:sp macro="" textlink="">
      <xdr:nvSpPr>
        <xdr:cNvPr id="18" name="Rectangle 17">
          <a:extLst>
            <a:ext uri="{FF2B5EF4-FFF2-40B4-BE49-F238E27FC236}">
              <a16:creationId xmlns:a16="http://schemas.microsoft.com/office/drawing/2014/main" id="{00000000-0008-0000-0700-000012000000}"/>
            </a:ext>
          </a:extLst>
        </xdr:cNvPr>
        <xdr:cNvSpPr/>
      </xdr:nvSpPr>
      <xdr:spPr>
        <a:xfrm>
          <a:off x="2425065" y="1352550"/>
          <a:ext cx="1786890" cy="41148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0</xdr:colOff>
      <xdr:row>1</xdr:row>
      <xdr:rowOff>1</xdr:rowOff>
    </xdr:from>
    <xdr:to>
      <xdr:col>32</xdr:col>
      <xdr:colOff>114299</xdr:colOff>
      <xdr:row>3</xdr:row>
      <xdr:rowOff>1</xdr:rowOff>
    </xdr:to>
    <xdr:sp macro="" textlink="">
      <xdr:nvSpPr>
        <xdr:cNvPr id="19" name="Rectangle 18">
          <a:extLst>
            <a:ext uri="{FF2B5EF4-FFF2-40B4-BE49-F238E27FC236}">
              <a16:creationId xmlns:a16="http://schemas.microsoft.com/office/drawing/2014/main" id="{00000000-0008-0000-0700-000013000000}"/>
            </a:ext>
          </a:extLst>
        </xdr:cNvPr>
        <xdr:cNvSpPr/>
      </xdr:nvSpPr>
      <xdr:spPr>
        <a:xfrm>
          <a:off x="2425065" y="285750"/>
          <a:ext cx="1772920" cy="42672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27129</xdr:colOff>
      <xdr:row>23</xdr:row>
      <xdr:rowOff>0</xdr:rowOff>
    </xdr:from>
    <xdr:ext cx="6109365" cy="617220"/>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281940"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37797</xdr:colOff>
      <xdr:row>35</xdr:row>
      <xdr:rowOff>151191</xdr:rowOff>
    </xdr:from>
    <xdr:ext cx="1369606" cy="817183"/>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3866515" y="7740650"/>
          <a:ext cx="1369695" cy="816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800-000002000000}"/>
            </a:ext>
          </a:extLst>
        </xdr:cNvPr>
        <xdr:cNvCxnSpPr/>
      </xdr:nvCxnSpPr>
      <xdr:spPr>
        <a:xfrm flipV="1">
          <a:off x="3328035" y="5634990"/>
          <a:ext cx="883920" cy="461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8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8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For Carrier Use Only</a:t>
          </a:r>
        </a:p>
      </xdr:txBody>
    </xdr:sp>
    <xdr:clientData/>
  </xdr:twoCellAnchor>
  <xdr:twoCellAnchor>
    <xdr:from>
      <xdr:col>6</xdr:col>
      <xdr:colOff>58511</xdr:colOff>
      <xdr:row>34</xdr:row>
      <xdr:rowOff>190085</xdr:rowOff>
    </xdr:from>
    <xdr:to>
      <xdr:col>19</xdr:col>
      <xdr:colOff>41855</xdr:colOff>
      <xdr:row>35</xdr:row>
      <xdr:rowOff>120009</xdr:rowOff>
    </xdr:to>
    <xdr:sp macro="" textlink="">
      <xdr:nvSpPr>
        <xdr:cNvPr id="5" name="Flowchart: Manual Operation 6">
          <a:extLst>
            <a:ext uri="{FF2B5EF4-FFF2-40B4-BE49-F238E27FC236}">
              <a16:creationId xmlns:a16="http://schemas.microsoft.com/office/drawing/2014/main" id="{00000000-0008-0000-0800-000005000000}"/>
            </a:ext>
          </a:extLst>
        </xdr:cNvPr>
        <xdr:cNvSpPr/>
      </xdr:nvSpPr>
      <xdr:spPr>
        <a:xfrm>
          <a:off x="824230" y="7566025"/>
          <a:ext cx="1642110" cy="14287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Weight Charges</a:t>
          </a:r>
        </a:p>
      </xdr:txBody>
    </xdr:sp>
    <xdr:clientData/>
  </xdr:twoCellAnchor>
  <xdr:twoCellAnchor>
    <xdr:from>
      <xdr:col>19</xdr:col>
      <xdr:colOff>57728</xdr:colOff>
      <xdr:row>35</xdr:row>
      <xdr:rowOff>1028</xdr:rowOff>
    </xdr:from>
    <xdr:to>
      <xdr:col>26</xdr:col>
      <xdr:colOff>111920</xdr:colOff>
      <xdr:row>35</xdr:row>
      <xdr:rowOff>123328</xdr:rowOff>
    </xdr:to>
    <xdr:sp macro="" textlink="">
      <xdr:nvSpPr>
        <xdr:cNvPr id="6" name="Flowchart: Manual Operation 6">
          <a:extLst>
            <a:ext uri="{FF2B5EF4-FFF2-40B4-BE49-F238E27FC236}">
              <a16:creationId xmlns:a16="http://schemas.microsoft.com/office/drawing/2014/main" id="{00000000-0008-0000-08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Collect</a:t>
          </a:r>
        </a:p>
      </xdr:txBody>
    </xdr:sp>
    <xdr:clientData/>
  </xdr:twoCellAnchor>
  <xdr:twoCellAnchor>
    <xdr:from>
      <xdr:col>0</xdr:col>
      <xdr:colOff>0</xdr:colOff>
      <xdr:row>35</xdr:row>
      <xdr:rowOff>2111</xdr:rowOff>
    </xdr:from>
    <xdr:to>
      <xdr:col>6</xdr:col>
      <xdr:colOff>50512</xdr:colOff>
      <xdr:row>35</xdr:row>
      <xdr:rowOff>112721</xdr:rowOff>
    </xdr:to>
    <xdr:sp macro="" textlink="">
      <xdr:nvSpPr>
        <xdr:cNvPr id="7" name="Flowchart: Manual Operation 6">
          <a:extLst>
            <a:ext uri="{FF2B5EF4-FFF2-40B4-BE49-F238E27FC236}">
              <a16:creationId xmlns:a16="http://schemas.microsoft.com/office/drawing/2014/main" id="{00000000-0008-0000-08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Prepaid</a:t>
          </a:r>
        </a:p>
      </xdr:txBody>
    </xdr:sp>
    <xdr:clientData/>
  </xdr:twoCellAnchor>
  <xdr:twoCellAnchor>
    <xdr:from>
      <xdr:col>6</xdr:col>
      <xdr:colOff>57934</xdr:colOff>
      <xdr:row>37</xdr:row>
      <xdr:rowOff>3113</xdr:rowOff>
    </xdr:from>
    <xdr:to>
      <xdr:col>19</xdr:col>
      <xdr:colOff>42433</xdr:colOff>
      <xdr:row>37</xdr:row>
      <xdr:rowOff>123537</xdr:rowOff>
    </xdr:to>
    <xdr:sp macro="" textlink="">
      <xdr:nvSpPr>
        <xdr:cNvPr id="8" name="Flowchart: Manual Operation 6">
          <a:extLst>
            <a:ext uri="{FF2B5EF4-FFF2-40B4-BE49-F238E27FC236}">
              <a16:creationId xmlns:a16="http://schemas.microsoft.com/office/drawing/2014/main" id="{00000000-0008-0000-08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Valuation Charge</a:t>
          </a:r>
        </a:p>
      </xdr:txBody>
    </xdr:sp>
    <xdr:clientData/>
  </xdr:twoCellAnchor>
  <xdr:twoCellAnchor>
    <xdr:from>
      <xdr:col>6</xdr:col>
      <xdr:colOff>58511</xdr:colOff>
      <xdr:row>39</xdr:row>
      <xdr:rowOff>3978</xdr:rowOff>
    </xdr:from>
    <xdr:to>
      <xdr:col>19</xdr:col>
      <xdr:colOff>41855</xdr:colOff>
      <xdr:row>39</xdr:row>
      <xdr:rowOff>124402</xdr:rowOff>
    </xdr:to>
    <xdr:sp macro="" textlink="">
      <xdr:nvSpPr>
        <xdr:cNvPr id="9" name="Flowchart: Manual Operation 6">
          <a:extLst>
            <a:ext uri="{FF2B5EF4-FFF2-40B4-BE49-F238E27FC236}">
              <a16:creationId xmlns:a16="http://schemas.microsoft.com/office/drawing/2014/main" id="{00000000-0008-0000-08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Tax</a:t>
          </a:r>
        </a:p>
      </xdr:txBody>
    </xdr:sp>
    <xdr:clientData/>
  </xdr:twoCellAnchor>
  <xdr:twoCellAnchor>
    <xdr:from>
      <xdr:col>6</xdr:col>
      <xdr:colOff>58511</xdr:colOff>
      <xdr:row>41</xdr:row>
      <xdr:rowOff>2463</xdr:rowOff>
    </xdr:from>
    <xdr:to>
      <xdr:col>19</xdr:col>
      <xdr:colOff>41855</xdr:colOff>
      <xdr:row>41</xdr:row>
      <xdr:rowOff>122887</xdr:rowOff>
    </xdr:to>
    <xdr:sp macro="" textlink="">
      <xdr:nvSpPr>
        <xdr:cNvPr id="10" name="Flowchart: Manual Operation 6">
          <a:extLst>
            <a:ext uri="{FF2B5EF4-FFF2-40B4-BE49-F238E27FC236}">
              <a16:creationId xmlns:a16="http://schemas.microsoft.com/office/drawing/2014/main" id="{00000000-0008-0000-08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a:t>
          </a:r>
          <a:r>
            <a:rPr lang="en-ID" sz="600" b="1" baseline="0">
              <a:solidFill>
                <a:sysClr val="windowText" lastClr="000000"/>
              </a:solidFill>
              <a:latin typeface="Arial Narrow" panose="020B0706020202030204" pitchFamily="34" charset="0"/>
            </a:rPr>
            <a:t> Other Charges Due Agent</a:t>
          </a:r>
          <a:endParaRPr lang="en-ID" sz="600" b="1">
            <a:solidFill>
              <a:sysClr val="windowText" lastClr="000000"/>
            </a:solidFill>
            <a:latin typeface="Arial Narrow" panose="020B0706020202030204" pitchFamily="34" charset="0"/>
          </a:endParaRPr>
        </a:p>
      </xdr:txBody>
    </xdr:sp>
    <xdr:clientData/>
  </xdr:twoCellAnchor>
  <xdr:twoCellAnchor>
    <xdr:from>
      <xdr:col>6</xdr:col>
      <xdr:colOff>58511</xdr:colOff>
      <xdr:row>42</xdr:row>
      <xdr:rowOff>94682</xdr:rowOff>
    </xdr:from>
    <xdr:to>
      <xdr:col>19</xdr:col>
      <xdr:colOff>41855</xdr:colOff>
      <xdr:row>43</xdr:row>
      <xdr:rowOff>121300</xdr:rowOff>
    </xdr:to>
    <xdr:sp macro="" textlink="">
      <xdr:nvSpPr>
        <xdr:cNvPr id="11" name="Flowchart: Manual Operation 6">
          <a:extLst>
            <a:ext uri="{FF2B5EF4-FFF2-40B4-BE49-F238E27FC236}">
              <a16:creationId xmlns:a16="http://schemas.microsoft.com/office/drawing/2014/main" id="{00000000-0008-0000-08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Other Charges Due Carrier</a:t>
          </a:r>
        </a:p>
      </xdr:txBody>
    </xdr:sp>
    <xdr:clientData/>
  </xdr:twoCellAnchor>
  <xdr:twoCellAnchor>
    <xdr:from>
      <xdr:col>0</xdr:col>
      <xdr:colOff>10160</xdr:colOff>
      <xdr:row>47</xdr:row>
      <xdr:rowOff>2969</xdr:rowOff>
    </xdr:from>
    <xdr:to>
      <xdr:col>12</xdr:col>
      <xdr:colOff>108958</xdr:colOff>
      <xdr:row>47</xdr:row>
      <xdr:rowOff>123393</xdr:rowOff>
    </xdr:to>
    <xdr:sp macro="" textlink="">
      <xdr:nvSpPr>
        <xdr:cNvPr id="12" name="Flowchart: Manual Operation 6">
          <a:extLst>
            <a:ext uri="{FF2B5EF4-FFF2-40B4-BE49-F238E27FC236}">
              <a16:creationId xmlns:a16="http://schemas.microsoft.com/office/drawing/2014/main" id="{00000000-0008-0000-0800-00000C000000}"/>
            </a:ext>
          </a:extLst>
        </xdr:cNvPr>
        <xdr:cNvSpPr/>
      </xdr:nvSpPr>
      <xdr:spPr>
        <a:xfrm>
          <a:off x="10160" y="942086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Prepaid</a:t>
          </a:r>
        </a:p>
      </xdr:txBody>
    </xdr:sp>
    <xdr:clientData/>
  </xdr:twoCellAnchor>
  <xdr:twoCellAnchor>
    <xdr:from>
      <xdr:col>13</xdr:col>
      <xdr:colOff>7418</xdr:colOff>
      <xdr:row>47</xdr:row>
      <xdr:rowOff>1454</xdr:rowOff>
    </xdr:from>
    <xdr:to>
      <xdr:col>26</xdr:col>
      <xdr:colOff>107156</xdr:colOff>
      <xdr:row>47</xdr:row>
      <xdr:rowOff>121878</xdr:rowOff>
    </xdr:to>
    <xdr:sp macro="" textlink="">
      <xdr:nvSpPr>
        <xdr:cNvPr id="13" name="Flowchart: Manual Operation 6">
          <a:extLst>
            <a:ext uri="{FF2B5EF4-FFF2-40B4-BE49-F238E27FC236}">
              <a16:creationId xmlns:a16="http://schemas.microsoft.com/office/drawing/2014/main" id="{00000000-0008-0000-0800-00000D000000}"/>
            </a:ext>
          </a:extLst>
        </xdr:cNvPr>
        <xdr:cNvSpPr/>
      </xdr:nvSpPr>
      <xdr:spPr>
        <a:xfrm>
          <a:off x="1666240" y="941959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a:t>
          </a:r>
        </a:p>
      </xdr:txBody>
    </xdr:sp>
    <xdr:clientData/>
  </xdr:twoCellAnchor>
  <xdr:twoCellAnchor>
    <xdr:from>
      <xdr:col>0</xdr:col>
      <xdr:colOff>202</xdr:colOff>
      <xdr:row>49</xdr:row>
      <xdr:rowOff>1453</xdr:rowOff>
    </xdr:from>
    <xdr:to>
      <xdr:col>12</xdr:col>
      <xdr:colOff>99000</xdr:colOff>
      <xdr:row>49</xdr:row>
      <xdr:rowOff>121877</xdr:rowOff>
    </xdr:to>
    <xdr:sp macro="" textlink="">
      <xdr:nvSpPr>
        <xdr:cNvPr id="14" name="Flowchart: Manual Operation 6">
          <a:extLst>
            <a:ext uri="{FF2B5EF4-FFF2-40B4-BE49-F238E27FC236}">
              <a16:creationId xmlns:a16="http://schemas.microsoft.com/office/drawing/2014/main" id="{00000000-0008-0000-0800-00000E000000}"/>
            </a:ext>
          </a:extLst>
        </xdr:cNvPr>
        <xdr:cNvSpPr/>
      </xdr:nvSpPr>
      <xdr:spPr>
        <a:xfrm>
          <a:off x="0" y="972820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Currency Conversion Rates</a:t>
          </a:r>
        </a:p>
      </xdr:txBody>
    </xdr:sp>
    <xdr:clientData/>
  </xdr:twoCellAnchor>
  <xdr:twoCellAnchor>
    <xdr:from>
      <xdr:col>13</xdr:col>
      <xdr:colOff>7145</xdr:colOff>
      <xdr:row>49</xdr:row>
      <xdr:rowOff>2319</xdr:rowOff>
    </xdr:from>
    <xdr:to>
      <xdr:col>26</xdr:col>
      <xdr:colOff>109539</xdr:colOff>
      <xdr:row>49</xdr:row>
      <xdr:rowOff>122743</xdr:rowOff>
    </xdr:to>
    <xdr:sp macro="" textlink="">
      <xdr:nvSpPr>
        <xdr:cNvPr id="15" name="Flowchart: Manual Operation 6">
          <a:extLst>
            <a:ext uri="{FF2B5EF4-FFF2-40B4-BE49-F238E27FC236}">
              <a16:creationId xmlns:a16="http://schemas.microsoft.com/office/drawing/2014/main" id="{00000000-0008-0000-0800-00000F000000}"/>
            </a:ext>
          </a:extLst>
        </xdr:cNvPr>
        <xdr:cNvSpPr/>
      </xdr:nvSpPr>
      <xdr:spPr>
        <a:xfrm>
          <a:off x="1666240" y="972883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cc Charges in Dest. Currency</a:t>
          </a:r>
        </a:p>
      </xdr:txBody>
    </xdr:sp>
    <xdr:clientData/>
  </xdr:twoCellAnchor>
  <xdr:twoCellAnchor>
    <xdr:from>
      <xdr:col>13</xdr:col>
      <xdr:colOff>5541</xdr:colOff>
      <xdr:row>51</xdr:row>
      <xdr:rowOff>3185</xdr:rowOff>
    </xdr:from>
    <xdr:to>
      <xdr:col>26</xdr:col>
      <xdr:colOff>105497</xdr:colOff>
      <xdr:row>51</xdr:row>
      <xdr:rowOff>123609</xdr:rowOff>
    </xdr:to>
    <xdr:sp macro="" textlink="">
      <xdr:nvSpPr>
        <xdr:cNvPr id="16" name="Flowchart: Manual Operation 6">
          <a:extLst>
            <a:ext uri="{FF2B5EF4-FFF2-40B4-BE49-F238E27FC236}">
              <a16:creationId xmlns:a16="http://schemas.microsoft.com/office/drawing/2014/main" id="{00000000-0008-0000-0800-000010000000}"/>
            </a:ext>
          </a:extLst>
        </xdr:cNvPr>
        <xdr:cNvSpPr/>
      </xdr:nvSpPr>
      <xdr:spPr>
        <a:xfrm>
          <a:off x="1664335" y="1003871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Charges at Destination</a:t>
          </a:r>
        </a:p>
      </xdr:txBody>
    </xdr:sp>
    <xdr:clientData/>
  </xdr:twoCellAnchor>
  <xdr:twoCellAnchor>
    <xdr:from>
      <xdr:col>27</xdr:col>
      <xdr:colOff>13624</xdr:colOff>
      <xdr:row>51</xdr:row>
      <xdr:rowOff>1670</xdr:rowOff>
    </xdr:from>
    <xdr:to>
      <xdr:col>39</xdr:col>
      <xdr:colOff>104632</xdr:colOff>
      <xdr:row>51</xdr:row>
      <xdr:rowOff>122094</xdr:rowOff>
    </xdr:to>
    <xdr:sp macro="" textlink="">
      <xdr:nvSpPr>
        <xdr:cNvPr id="17" name="Flowchart: Manual Operation 6">
          <a:extLst>
            <a:ext uri="{FF2B5EF4-FFF2-40B4-BE49-F238E27FC236}">
              <a16:creationId xmlns:a16="http://schemas.microsoft.com/office/drawing/2014/main" id="{00000000-0008-0000-0800-000011000000}"/>
            </a:ext>
          </a:extLst>
        </xdr:cNvPr>
        <xdr:cNvSpPr/>
      </xdr:nvSpPr>
      <xdr:spPr>
        <a:xfrm>
          <a:off x="3459480" y="1003681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 Charges</a:t>
          </a:r>
        </a:p>
      </xdr:txBody>
    </xdr:sp>
    <xdr:clientData/>
  </xdr:twoCellAnchor>
  <xdr:twoCellAnchor>
    <xdr:from>
      <xdr:col>19</xdr:col>
      <xdr:colOff>0</xdr:colOff>
      <xdr:row>6</xdr:row>
      <xdr:rowOff>2381</xdr:rowOff>
    </xdr:from>
    <xdr:to>
      <xdr:col>33</xdr:col>
      <xdr:colOff>0</xdr:colOff>
      <xdr:row>7</xdr:row>
      <xdr:rowOff>188119</xdr:rowOff>
    </xdr:to>
    <xdr:sp macro="" textlink="">
      <xdr:nvSpPr>
        <xdr:cNvPr id="18" name="Rectangle 17">
          <a:extLst>
            <a:ext uri="{FF2B5EF4-FFF2-40B4-BE49-F238E27FC236}">
              <a16:creationId xmlns:a16="http://schemas.microsoft.com/office/drawing/2014/main" id="{00000000-0008-0000-0800-000012000000}"/>
            </a:ext>
          </a:extLst>
        </xdr:cNvPr>
        <xdr:cNvSpPr/>
      </xdr:nvSpPr>
      <xdr:spPr>
        <a:xfrm>
          <a:off x="2425065" y="1354455"/>
          <a:ext cx="1786890" cy="399415"/>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1</xdr:colOff>
      <xdr:row>1</xdr:row>
      <xdr:rowOff>1</xdr:rowOff>
    </xdr:from>
    <xdr:to>
      <xdr:col>33</xdr:col>
      <xdr:colOff>1</xdr:colOff>
      <xdr:row>3</xdr:row>
      <xdr:rowOff>1</xdr:rowOff>
    </xdr:to>
    <xdr:sp macro="" textlink="">
      <xdr:nvSpPr>
        <xdr:cNvPr id="19" name="Rectangle 18">
          <a:extLst>
            <a:ext uri="{FF2B5EF4-FFF2-40B4-BE49-F238E27FC236}">
              <a16:creationId xmlns:a16="http://schemas.microsoft.com/office/drawing/2014/main" id="{00000000-0008-0000-0800-000013000000}"/>
            </a:ext>
          </a:extLst>
        </xdr:cNvPr>
        <xdr:cNvSpPr/>
      </xdr:nvSpPr>
      <xdr:spPr>
        <a:xfrm>
          <a:off x="2425065" y="285750"/>
          <a:ext cx="1786890" cy="42672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20283</xdr:colOff>
      <xdr:row>23</xdr:row>
      <xdr:rowOff>0</xdr:rowOff>
    </xdr:from>
    <xdr:ext cx="6109365" cy="617220"/>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274955"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62901</xdr:colOff>
      <xdr:row>35</xdr:row>
      <xdr:rowOff>107831</xdr:rowOff>
    </xdr:from>
    <xdr:ext cx="1369606" cy="817183"/>
    <xdr:sp macro="" textlink="">
      <xdr:nvSpPr>
        <xdr:cNvPr id="21" name="TextBox 20">
          <a:extLst>
            <a:ext uri="{FF2B5EF4-FFF2-40B4-BE49-F238E27FC236}">
              <a16:creationId xmlns:a16="http://schemas.microsoft.com/office/drawing/2014/main" id="{00000000-0008-0000-0800-000015000000}"/>
            </a:ext>
          </a:extLst>
        </xdr:cNvPr>
        <xdr:cNvSpPr txBox="1"/>
      </xdr:nvSpPr>
      <xdr:spPr>
        <a:xfrm>
          <a:off x="3891915" y="7696835"/>
          <a:ext cx="1369060" cy="817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26</xdr:col>
      <xdr:colOff>9525</xdr:colOff>
      <xdr:row>26</xdr:row>
      <xdr:rowOff>19050</xdr:rowOff>
    </xdr:from>
    <xdr:to>
      <xdr:col>33</xdr:col>
      <xdr:colOff>0</xdr:colOff>
      <xdr:row>28</xdr:row>
      <xdr:rowOff>0</xdr:rowOff>
    </xdr:to>
    <xdr:cxnSp macro="">
      <xdr:nvCxnSpPr>
        <xdr:cNvPr id="2" name="Straight Connector 1">
          <a:extLst>
            <a:ext uri="{FF2B5EF4-FFF2-40B4-BE49-F238E27FC236}">
              <a16:creationId xmlns:a16="http://schemas.microsoft.com/office/drawing/2014/main" id="{00000000-0008-0000-0900-000002000000}"/>
            </a:ext>
          </a:extLst>
        </xdr:cNvPr>
        <xdr:cNvCxnSpPr/>
      </xdr:nvCxnSpPr>
      <xdr:spPr>
        <a:xfrm flipV="1">
          <a:off x="3328035" y="5634990"/>
          <a:ext cx="883920" cy="461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110978</xdr:colOff>
      <xdr:row>19</xdr:row>
      <xdr:rowOff>2924</xdr:rowOff>
    </xdr:from>
    <xdr:to>
      <xdr:col>19</xdr:col>
      <xdr:colOff>44548</xdr:colOff>
      <xdr:row>20</xdr:row>
      <xdr:rowOff>2388</xdr:rowOff>
    </xdr:to>
    <xdr:sp macro="" textlink="">
      <xdr:nvSpPr>
        <xdr:cNvPr id="3" name="Flowchart: Manual Operation 6">
          <a:extLst>
            <a:ext uri="{FF2B5EF4-FFF2-40B4-BE49-F238E27FC236}">
              <a16:creationId xmlns:a16="http://schemas.microsoft.com/office/drawing/2014/main" id="{00000000-0008-0000-0900-000003000000}"/>
            </a:ext>
          </a:extLst>
        </xdr:cNvPr>
        <xdr:cNvSpPr/>
      </xdr:nvSpPr>
      <xdr:spPr>
        <a:xfrm>
          <a:off x="1003935" y="4128770"/>
          <a:ext cx="1465580" cy="1898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Routing and Destination</a:t>
          </a:r>
        </a:p>
      </xdr:txBody>
    </xdr:sp>
    <xdr:clientData/>
  </xdr:twoCellAnchor>
  <xdr:twoCellAnchor>
    <xdr:from>
      <xdr:col>20</xdr:col>
      <xdr:colOff>55757</xdr:colOff>
      <xdr:row>21</xdr:row>
      <xdr:rowOff>1084</xdr:rowOff>
    </xdr:from>
    <xdr:to>
      <xdr:col>29</xdr:col>
      <xdr:colOff>46464</xdr:colOff>
      <xdr:row>22</xdr:row>
      <xdr:rowOff>548</xdr:rowOff>
    </xdr:to>
    <xdr:sp macro="" textlink="">
      <xdr:nvSpPr>
        <xdr:cNvPr id="4" name="Flowchart: Manual Operation 6">
          <a:extLst>
            <a:ext uri="{FF2B5EF4-FFF2-40B4-BE49-F238E27FC236}">
              <a16:creationId xmlns:a16="http://schemas.microsoft.com/office/drawing/2014/main" id="{00000000-0008-0000-0900-000004000000}"/>
            </a:ext>
          </a:extLst>
        </xdr:cNvPr>
        <xdr:cNvSpPr/>
      </xdr:nvSpPr>
      <xdr:spPr>
        <a:xfrm>
          <a:off x="2607945" y="4540250"/>
          <a:ext cx="1139825" cy="21272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For Carrier Use Only</a:t>
          </a:r>
        </a:p>
      </xdr:txBody>
    </xdr:sp>
    <xdr:clientData/>
  </xdr:twoCellAnchor>
  <xdr:twoCellAnchor>
    <xdr:from>
      <xdr:col>6</xdr:col>
      <xdr:colOff>58511</xdr:colOff>
      <xdr:row>34</xdr:row>
      <xdr:rowOff>190085</xdr:rowOff>
    </xdr:from>
    <xdr:to>
      <xdr:col>19</xdr:col>
      <xdr:colOff>41855</xdr:colOff>
      <xdr:row>35</xdr:row>
      <xdr:rowOff>120009</xdr:rowOff>
    </xdr:to>
    <xdr:sp macro="" textlink="">
      <xdr:nvSpPr>
        <xdr:cNvPr id="5" name="Flowchart: Manual Operation 6">
          <a:extLst>
            <a:ext uri="{FF2B5EF4-FFF2-40B4-BE49-F238E27FC236}">
              <a16:creationId xmlns:a16="http://schemas.microsoft.com/office/drawing/2014/main" id="{00000000-0008-0000-0900-000005000000}"/>
            </a:ext>
          </a:extLst>
        </xdr:cNvPr>
        <xdr:cNvSpPr/>
      </xdr:nvSpPr>
      <xdr:spPr>
        <a:xfrm>
          <a:off x="824230" y="7566025"/>
          <a:ext cx="1642110" cy="14287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Weight Charges</a:t>
          </a:r>
        </a:p>
      </xdr:txBody>
    </xdr:sp>
    <xdr:clientData/>
  </xdr:twoCellAnchor>
  <xdr:twoCellAnchor>
    <xdr:from>
      <xdr:col>19</xdr:col>
      <xdr:colOff>57728</xdr:colOff>
      <xdr:row>35</xdr:row>
      <xdr:rowOff>1028</xdr:rowOff>
    </xdr:from>
    <xdr:to>
      <xdr:col>26</xdr:col>
      <xdr:colOff>111920</xdr:colOff>
      <xdr:row>35</xdr:row>
      <xdr:rowOff>123328</xdr:rowOff>
    </xdr:to>
    <xdr:sp macro="" textlink="">
      <xdr:nvSpPr>
        <xdr:cNvPr id="6" name="Flowchart: Manual Operation 6">
          <a:extLst>
            <a:ext uri="{FF2B5EF4-FFF2-40B4-BE49-F238E27FC236}">
              <a16:creationId xmlns:a16="http://schemas.microsoft.com/office/drawing/2014/main" id="{00000000-0008-0000-0900-000006000000}"/>
            </a:ext>
          </a:extLst>
        </xdr:cNvPr>
        <xdr:cNvSpPr/>
      </xdr:nvSpPr>
      <xdr:spPr>
        <a:xfrm>
          <a:off x="2482215" y="7590155"/>
          <a:ext cx="948055" cy="12255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Collect</a:t>
          </a:r>
        </a:p>
      </xdr:txBody>
    </xdr:sp>
    <xdr:clientData/>
  </xdr:twoCellAnchor>
  <xdr:twoCellAnchor>
    <xdr:from>
      <xdr:col>0</xdr:col>
      <xdr:colOff>0</xdr:colOff>
      <xdr:row>35</xdr:row>
      <xdr:rowOff>2111</xdr:rowOff>
    </xdr:from>
    <xdr:to>
      <xdr:col>6</xdr:col>
      <xdr:colOff>50512</xdr:colOff>
      <xdr:row>35</xdr:row>
      <xdr:rowOff>112721</xdr:rowOff>
    </xdr:to>
    <xdr:sp macro="" textlink="">
      <xdr:nvSpPr>
        <xdr:cNvPr id="7" name="Flowchart: Manual Operation 6">
          <a:extLst>
            <a:ext uri="{FF2B5EF4-FFF2-40B4-BE49-F238E27FC236}">
              <a16:creationId xmlns:a16="http://schemas.microsoft.com/office/drawing/2014/main" id="{00000000-0008-0000-0900-000007000000}"/>
            </a:ext>
          </a:extLst>
        </xdr:cNvPr>
        <xdr:cNvSpPr/>
      </xdr:nvSpPr>
      <xdr:spPr>
        <a:xfrm>
          <a:off x="0" y="7591425"/>
          <a:ext cx="815975" cy="11049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Prepaid</a:t>
          </a:r>
        </a:p>
      </xdr:txBody>
    </xdr:sp>
    <xdr:clientData/>
  </xdr:twoCellAnchor>
  <xdr:twoCellAnchor>
    <xdr:from>
      <xdr:col>6</xdr:col>
      <xdr:colOff>57934</xdr:colOff>
      <xdr:row>37</xdr:row>
      <xdr:rowOff>3113</xdr:rowOff>
    </xdr:from>
    <xdr:to>
      <xdr:col>19</xdr:col>
      <xdr:colOff>42433</xdr:colOff>
      <xdr:row>37</xdr:row>
      <xdr:rowOff>123537</xdr:rowOff>
    </xdr:to>
    <xdr:sp macro="" textlink="">
      <xdr:nvSpPr>
        <xdr:cNvPr id="8" name="Flowchart: Manual Operation 6">
          <a:extLst>
            <a:ext uri="{FF2B5EF4-FFF2-40B4-BE49-F238E27FC236}">
              <a16:creationId xmlns:a16="http://schemas.microsoft.com/office/drawing/2014/main" id="{00000000-0008-0000-0900-000008000000}"/>
            </a:ext>
          </a:extLst>
        </xdr:cNvPr>
        <xdr:cNvSpPr/>
      </xdr:nvSpPr>
      <xdr:spPr>
        <a:xfrm>
          <a:off x="823595" y="7900670"/>
          <a:ext cx="164338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Valuation Charge</a:t>
          </a:r>
        </a:p>
      </xdr:txBody>
    </xdr:sp>
    <xdr:clientData/>
  </xdr:twoCellAnchor>
  <xdr:twoCellAnchor>
    <xdr:from>
      <xdr:col>6</xdr:col>
      <xdr:colOff>58511</xdr:colOff>
      <xdr:row>39</xdr:row>
      <xdr:rowOff>3978</xdr:rowOff>
    </xdr:from>
    <xdr:to>
      <xdr:col>19</xdr:col>
      <xdr:colOff>41855</xdr:colOff>
      <xdr:row>39</xdr:row>
      <xdr:rowOff>124402</xdr:rowOff>
    </xdr:to>
    <xdr:sp macro="" textlink="">
      <xdr:nvSpPr>
        <xdr:cNvPr id="9" name="Flowchart: Manual Operation 6">
          <a:extLst>
            <a:ext uri="{FF2B5EF4-FFF2-40B4-BE49-F238E27FC236}">
              <a16:creationId xmlns:a16="http://schemas.microsoft.com/office/drawing/2014/main" id="{00000000-0008-0000-0900-000009000000}"/>
            </a:ext>
          </a:extLst>
        </xdr:cNvPr>
        <xdr:cNvSpPr/>
      </xdr:nvSpPr>
      <xdr:spPr>
        <a:xfrm>
          <a:off x="824230" y="8210550"/>
          <a:ext cx="164211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Tax</a:t>
          </a:r>
        </a:p>
      </xdr:txBody>
    </xdr:sp>
    <xdr:clientData/>
  </xdr:twoCellAnchor>
  <xdr:twoCellAnchor>
    <xdr:from>
      <xdr:col>6</xdr:col>
      <xdr:colOff>58511</xdr:colOff>
      <xdr:row>41</xdr:row>
      <xdr:rowOff>2463</xdr:rowOff>
    </xdr:from>
    <xdr:to>
      <xdr:col>19</xdr:col>
      <xdr:colOff>41855</xdr:colOff>
      <xdr:row>41</xdr:row>
      <xdr:rowOff>122887</xdr:rowOff>
    </xdr:to>
    <xdr:sp macro="" textlink="">
      <xdr:nvSpPr>
        <xdr:cNvPr id="10" name="Flowchart: Manual Operation 6">
          <a:extLst>
            <a:ext uri="{FF2B5EF4-FFF2-40B4-BE49-F238E27FC236}">
              <a16:creationId xmlns:a16="http://schemas.microsoft.com/office/drawing/2014/main" id="{00000000-0008-0000-0900-00000A000000}"/>
            </a:ext>
          </a:extLst>
        </xdr:cNvPr>
        <xdr:cNvSpPr/>
      </xdr:nvSpPr>
      <xdr:spPr>
        <a:xfrm>
          <a:off x="824230" y="8517255"/>
          <a:ext cx="164211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a:t>
          </a:r>
          <a:r>
            <a:rPr lang="en-ID" sz="600" b="1" baseline="0">
              <a:solidFill>
                <a:sysClr val="windowText" lastClr="000000"/>
              </a:solidFill>
              <a:latin typeface="Arial Narrow" panose="020B0706020202030204" pitchFamily="34" charset="0"/>
            </a:rPr>
            <a:t> Other Charges Due Agent</a:t>
          </a:r>
          <a:endParaRPr lang="en-ID" sz="600" b="1">
            <a:solidFill>
              <a:sysClr val="windowText" lastClr="000000"/>
            </a:solidFill>
            <a:latin typeface="Arial Narrow" panose="020B0706020202030204" pitchFamily="34" charset="0"/>
          </a:endParaRPr>
        </a:p>
      </xdr:txBody>
    </xdr:sp>
    <xdr:clientData/>
  </xdr:twoCellAnchor>
  <xdr:twoCellAnchor>
    <xdr:from>
      <xdr:col>6</xdr:col>
      <xdr:colOff>58511</xdr:colOff>
      <xdr:row>42</xdr:row>
      <xdr:rowOff>94682</xdr:rowOff>
    </xdr:from>
    <xdr:to>
      <xdr:col>19</xdr:col>
      <xdr:colOff>41855</xdr:colOff>
      <xdr:row>43</xdr:row>
      <xdr:rowOff>121300</xdr:rowOff>
    </xdr:to>
    <xdr:sp macro="" textlink="">
      <xdr:nvSpPr>
        <xdr:cNvPr id="11" name="Flowchart: Manual Operation 6">
          <a:extLst>
            <a:ext uri="{FF2B5EF4-FFF2-40B4-BE49-F238E27FC236}">
              <a16:creationId xmlns:a16="http://schemas.microsoft.com/office/drawing/2014/main" id="{00000000-0008-0000-0900-00000B000000}"/>
            </a:ext>
          </a:extLst>
        </xdr:cNvPr>
        <xdr:cNvSpPr/>
      </xdr:nvSpPr>
      <xdr:spPr>
        <a:xfrm>
          <a:off x="824230" y="8800465"/>
          <a:ext cx="1642110" cy="12192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solidFill>
          <a:schemeClr val="bg1"/>
        </a:solid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Other Charges Due Carrier</a:t>
          </a:r>
        </a:p>
      </xdr:txBody>
    </xdr:sp>
    <xdr:clientData/>
  </xdr:twoCellAnchor>
  <xdr:twoCellAnchor>
    <xdr:from>
      <xdr:col>0</xdr:col>
      <xdr:colOff>10160</xdr:colOff>
      <xdr:row>47</xdr:row>
      <xdr:rowOff>2969</xdr:rowOff>
    </xdr:from>
    <xdr:to>
      <xdr:col>12</xdr:col>
      <xdr:colOff>108958</xdr:colOff>
      <xdr:row>47</xdr:row>
      <xdr:rowOff>123393</xdr:rowOff>
    </xdr:to>
    <xdr:sp macro="" textlink="">
      <xdr:nvSpPr>
        <xdr:cNvPr id="12" name="Flowchart: Manual Operation 6">
          <a:extLst>
            <a:ext uri="{FF2B5EF4-FFF2-40B4-BE49-F238E27FC236}">
              <a16:creationId xmlns:a16="http://schemas.microsoft.com/office/drawing/2014/main" id="{00000000-0008-0000-0900-00000C000000}"/>
            </a:ext>
          </a:extLst>
        </xdr:cNvPr>
        <xdr:cNvSpPr/>
      </xdr:nvSpPr>
      <xdr:spPr>
        <a:xfrm>
          <a:off x="10160" y="9401810"/>
          <a:ext cx="163004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Prepaid</a:t>
          </a:r>
        </a:p>
      </xdr:txBody>
    </xdr:sp>
    <xdr:clientData/>
  </xdr:twoCellAnchor>
  <xdr:twoCellAnchor>
    <xdr:from>
      <xdr:col>13</xdr:col>
      <xdr:colOff>7418</xdr:colOff>
      <xdr:row>47</xdr:row>
      <xdr:rowOff>1454</xdr:rowOff>
    </xdr:from>
    <xdr:to>
      <xdr:col>26</xdr:col>
      <xdr:colOff>107156</xdr:colOff>
      <xdr:row>47</xdr:row>
      <xdr:rowOff>121878</xdr:rowOff>
    </xdr:to>
    <xdr:sp macro="" textlink="">
      <xdr:nvSpPr>
        <xdr:cNvPr id="13" name="Flowchart: Manual Operation 6">
          <a:extLst>
            <a:ext uri="{FF2B5EF4-FFF2-40B4-BE49-F238E27FC236}">
              <a16:creationId xmlns:a16="http://schemas.microsoft.com/office/drawing/2014/main" id="{00000000-0008-0000-0900-00000D000000}"/>
            </a:ext>
          </a:extLst>
        </xdr:cNvPr>
        <xdr:cNvSpPr/>
      </xdr:nvSpPr>
      <xdr:spPr>
        <a:xfrm>
          <a:off x="1666240" y="9400540"/>
          <a:ext cx="1758950"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a:t>
          </a:r>
        </a:p>
      </xdr:txBody>
    </xdr:sp>
    <xdr:clientData/>
  </xdr:twoCellAnchor>
  <xdr:twoCellAnchor>
    <xdr:from>
      <xdr:col>0</xdr:col>
      <xdr:colOff>202</xdr:colOff>
      <xdr:row>49</xdr:row>
      <xdr:rowOff>1453</xdr:rowOff>
    </xdr:from>
    <xdr:to>
      <xdr:col>12</xdr:col>
      <xdr:colOff>99000</xdr:colOff>
      <xdr:row>49</xdr:row>
      <xdr:rowOff>121877</xdr:rowOff>
    </xdr:to>
    <xdr:sp macro="" textlink="">
      <xdr:nvSpPr>
        <xdr:cNvPr id="14" name="Flowchart: Manual Operation 6">
          <a:extLst>
            <a:ext uri="{FF2B5EF4-FFF2-40B4-BE49-F238E27FC236}">
              <a16:creationId xmlns:a16="http://schemas.microsoft.com/office/drawing/2014/main" id="{00000000-0008-0000-0900-00000E000000}"/>
            </a:ext>
          </a:extLst>
        </xdr:cNvPr>
        <xdr:cNvSpPr/>
      </xdr:nvSpPr>
      <xdr:spPr>
        <a:xfrm>
          <a:off x="0" y="9709150"/>
          <a:ext cx="163004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Currency Conversion Rates</a:t>
          </a:r>
        </a:p>
      </xdr:txBody>
    </xdr:sp>
    <xdr:clientData/>
  </xdr:twoCellAnchor>
  <xdr:twoCellAnchor>
    <xdr:from>
      <xdr:col>13</xdr:col>
      <xdr:colOff>7145</xdr:colOff>
      <xdr:row>49</xdr:row>
      <xdr:rowOff>2319</xdr:rowOff>
    </xdr:from>
    <xdr:to>
      <xdr:col>26</xdr:col>
      <xdr:colOff>109539</xdr:colOff>
      <xdr:row>49</xdr:row>
      <xdr:rowOff>122743</xdr:rowOff>
    </xdr:to>
    <xdr:sp macro="" textlink="">
      <xdr:nvSpPr>
        <xdr:cNvPr id="15" name="Flowchart: Manual Operation 6">
          <a:extLst>
            <a:ext uri="{FF2B5EF4-FFF2-40B4-BE49-F238E27FC236}">
              <a16:creationId xmlns:a16="http://schemas.microsoft.com/office/drawing/2014/main" id="{00000000-0008-0000-0900-00000F000000}"/>
            </a:ext>
          </a:extLst>
        </xdr:cNvPr>
        <xdr:cNvSpPr/>
      </xdr:nvSpPr>
      <xdr:spPr>
        <a:xfrm>
          <a:off x="1666240" y="9709785"/>
          <a:ext cx="1761490"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cc Charges in Dest. Currency</a:t>
          </a:r>
        </a:p>
      </xdr:txBody>
    </xdr:sp>
    <xdr:clientData/>
  </xdr:twoCellAnchor>
  <xdr:twoCellAnchor>
    <xdr:from>
      <xdr:col>13</xdr:col>
      <xdr:colOff>5541</xdr:colOff>
      <xdr:row>51</xdr:row>
      <xdr:rowOff>3185</xdr:rowOff>
    </xdr:from>
    <xdr:to>
      <xdr:col>26</xdr:col>
      <xdr:colOff>105497</xdr:colOff>
      <xdr:row>51</xdr:row>
      <xdr:rowOff>123609</xdr:rowOff>
    </xdr:to>
    <xdr:sp macro="" textlink="">
      <xdr:nvSpPr>
        <xdr:cNvPr id="16" name="Flowchart: Manual Operation 6">
          <a:extLst>
            <a:ext uri="{FF2B5EF4-FFF2-40B4-BE49-F238E27FC236}">
              <a16:creationId xmlns:a16="http://schemas.microsoft.com/office/drawing/2014/main" id="{00000000-0008-0000-0900-000010000000}"/>
            </a:ext>
          </a:extLst>
        </xdr:cNvPr>
        <xdr:cNvSpPr/>
      </xdr:nvSpPr>
      <xdr:spPr>
        <a:xfrm>
          <a:off x="1664335" y="10019665"/>
          <a:ext cx="1759585" cy="12001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Charges at Destination</a:t>
          </a:r>
        </a:p>
      </xdr:txBody>
    </xdr:sp>
    <xdr:clientData/>
  </xdr:twoCellAnchor>
  <xdr:twoCellAnchor>
    <xdr:from>
      <xdr:col>27</xdr:col>
      <xdr:colOff>13624</xdr:colOff>
      <xdr:row>51</xdr:row>
      <xdr:rowOff>1670</xdr:rowOff>
    </xdr:from>
    <xdr:to>
      <xdr:col>39</xdr:col>
      <xdr:colOff>104632</xdr:colOff>
      <xdr:row>51</xdr:row>
      <xdr:rowOff>122094</xdr:rowOff>
    </xdr:to>
    <xdr:sp macro="" textlink="">
      <xdr:nvSpPr>
        <xdr:cNvPr id="17" name="Flowchart: Manual Operation 6">
          <a:extLst>
            <a:ext uri="{FF2B5EF4-FFF2-40B4-BE49-F238E27FC236}">
              <a16:creationId xmlns:a16="http://schemas.microsoft.com/office/drawing/2014/main" id="{00000000-0008-0000-0900-000011000000}"/>
            </a:ext>
          </a:extLst>
        </xdr:cNvPr>
        <xdr:cNvSpPr/>
      </xdr:nvSpPr>
      <xdr:spPr>
        <a:xfrm>
          <a:off x="3459480" y="10017760"/>
          <a:ext cx="1622425" cy="120650"/>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1" fmla="*/ 0 w 10000"/>
            <a:gd name="connsiteY0-2" fmla="*/ 0 h 10000"/>
            <a:gd name="connsiteX1-3" fmla="*/ 10000 w 10000"/>
            <a:gd name="connsiteY1-4" fmla="*/ 0 h 10000"/>
            <a:gd name="connsiteX2-5" fmla="*/ 8000 w 10000"/>
            <a:gd name="connsiteY2-6" fmla="*/ 10000 h 10000"/>
            <a:gd name="connsiteX3-7" fmla="*/ 885 w 10000"/>
            <a:gd name="connsiteY3-8" fmla="*/ 9870 h 10000"/>
            <a:gd name="connsiteX4-9" fmla="*/ 0 w 10000"/>
            <a:gd name="connsiteY4-10" fmla="*/ 0 h 10000"/>
            <a:gd name="connsiteX0-11" fmla="*/ 0 w 10000"/>
            <a:gd name="connsiteY0-12" fmla="*/ 0 h 10337"/>
            <a:gd name="connsiteX1-13" fmla="*/ 10000 w 10000"/>
            <a:gd name="connsiteY1-14" fmla="*/ 0 h 10337"/>
            <a:gd name="connsiteX2-15" fmla="*/ 9342 w 10000"/>
            <a:gd name="connsiteY2-16" fmla="*/ 10337 h 10337"/>
            <a:gd name="connsiteX3-17" fmla="*/ 885 w 10000"/>
            <a:gd name="connsiteY3-18" fmla="*/ 9870 h 10337"/>
            <a:gd name="connsiteX4-19" fmla="*/ 0 w 10000"/>
            <a:gd name="connsiteY4-20" fmla="*/ 0 h 10337"/>
            <a:gd name="connsiteX0-21" fmla="*/ 0 w 10000"/>
            <a:gd name="connsiteY0-22" fmla="*/ 0 h 10337"/>
            <a:gd name="connsiteX1-23" fmla="*/ 10000 w 10000"/>
            <a:gd name="connsiteY1-24" fmla="*/ 0 h 10337"/>
            <a:gd name="connsiteX2-25" fmla="*/ 9342 w 10000"/>
            <a:gd name="connsiteY2-26" fmla="*/ 10337 h 10337"/>
            <a:gd name="connsiteX3-27" fmla="*/ 567 w 10000"/>
            <a:gd name="connsiteY3-28" fmla="*/ 10337 h 10337"/>
            <a:gd name="connsiteX4-29" fmla="*/ 0 w 10000"/>
            <a:gd name="connsiteY4-30" fmla="*/ 0 h 10337"/>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10000" h="10337">
              <a:moveTo>
                <a:pt x="0" y="0"/>
              </a:moveTo>
              <a:lnTo>
                <a:pt x="10000" y="0"/>
              </a:lnTo>
              <a:cubicBezTo>
                <a:pt x="9781" y="3446"/>
                <a:pt x="9561" y="6891"/>
                <a:pt x="9342" y="10337"/>
              </a:cubicBezTo>
              <a:lnTo>
                <a:pt x="567" y="10337"/>
              </a:lnTo>
              <a:lnTo>
                <a:pt x="0" y="0"/>
              </a:lnTo>
              <a:close/>
            </a:path>
          </a:pathLst>
        </a:custGeom>
        <a:noFill/>
        <a:ln w="635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D" sz="600" b="1">
              <a:solidFill>
                <a:sysClr val="windowText" lastClr="000000"/>
              </a:solidFill>
              <a:latin typeface="Arial Narrow" panose="020B0706020202030204" pitchFamily="34" charset="0"/>
            </a:rPr>
            <a:t>Total Collect Charges</a:t>
          </a:r>
        </a:p>
      </xdr:txBody>
    </xdr:sp>
    <xdr:clientData/>
  </xdr:twoCellAnchor>
  <xdr:twoCellAnchor>
    <xdr:from>
      <xdr:col>19</xdr:col>
      <xdr:colOff>0</xdr:colOff>
      <xdr:row>6</xdr:row>
      <xdr:rowOff>2381</xdr:rowOff>
    </xdr:from>
    <xdr:to>
      <xdr:col>33</xdr:col>
      <xdr:colOff>0</xdr:colOff>
      <xdr:row>7</xdr:row>
      <xdr:rowOff>188119</xdr:rowOff>
    </xdr:to>
    <xdr:sp macro="" textlink="">
      <xdr:nvSpPr>
        <xdr:cNvPr id="18" name="Rectangle 17">
          <a:extLst>
            <a:ext uri="{FF2B5EF4-FFF2-40B4-BE49-F238E27FC236}">
              <a16:creationId xmlns:a16="http://schemas.microsoft.com/office/drawing/2014/main" id="{00000000-0008-0000-0900-000012000000}"/>
            </a:ext>
          </a:extLst>
        </xdr:cNvPr>
        <xdr:cNvSpPr/>
      </xdr:nvSpPr>
      <xdr:spPr>
        <a:xfrm>
          <a:off x="2425065" y="1354455"/>
          <a:ext cx="1786890" cy="399415"/>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1</xdr:colOff>
      <xdr:row>1</xdr:row>
      <xdr:rowOff>1</xdr:rowOff>
    </xdr:from>
    <xdr:to>
      <xdr:col>33</xdr:col>
      <xdr:colOff>1</xdr:colOff>
      <xdr:row>3</xdr:row>
      <xdr:rowOff>1</xdr:rowOff>
    </xdr:to>
    <xdr:sp macro="" textlink="">
      <xdr:nvSpPr>
        <xdr:cNvPr id="19" name="Rectangle 18">
          <a:extLst>
            <a:ext uri="{FF2B5EF4-FFF2-40B4-BE49-F238E27FC236}">
              <a16:creationId xmlns:a16="http://schemas.microsoft.com/office/drawing/2014/main" id="{00000000-0008-0000-0900-000013000000}"/>
            </a:ext>
          </a:extLst>
        </xdr:cNvPr>
        <xdr:cNvSpPr/>
      </xdr:nvSpPr>
      <xdr:spPr>
        <a:xfrm>
          <a:off x="2425065" y="285750"/>
          <a:ext cx="1786890" cy="426720"/>
        </a:xfrm>
        <a:prstGeom prst="rect">
          <a:avLst/>
        </a:prstGeom>
        <a:noFill/>
        <a:ln w="3175"/>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25315</xdr:colOff>
      <xdr:row>23</xdr:row>
      <xdr:rowOff>0</xdr:rowOff>
    </xdr:from>
    <xdr:ext cx="6109365" cy="61722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80035" y="4975860"/>
          <a:ext cx="6109335" cy="617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CARGO MUST FLY AS BOOKED EXPS MATERIAL</a:t>
          </a:r>
        </a:p>
        <a:p>
          <a:pPr algn="ctr"/>
          <a:r>
            <a:rPr lang="en-ID" sz="1100">
              <a:latin typeface="Courier New" panose="02070609020205020404" pitchFamily="49" charset="0"/>
              <a:cs typeface="Courier New" panose="02070609020205020404" pitchFamily="49" charset="0"/>
            </a:rPr>
            <a:t>HOUSE AWB INFORMATION HAS BEEN SUBMITTED DIRECTLY TO CUSTOMS BY AGENT</a:t>
          </a:r>
        </a:p>
        <a:p>
          <a:pPr algn="ctr"/>
          <a:r>
            <a:rPr lang="en-ID" sz="1100">
              <a:latin typeface="Courier New" panose="02070609020205020404" pitchFamily="49" charset="0"/>
              <a:cs typeface="Courier New" panose="02070609020205020404" pitchFamily="49" charset="0"/>
            </a:rPr>
            <a:t>OCI/ID/SHP/T/TIN 0967493131008000</a:t>
          </a:r>
        </a:p>
      </xdr:txBody>
    </xdr:sp>
    <xdr:clientData/>
  </xdr:oneCellAnchor>
  <xdr:oneCellAnchor>
    <xdr:from>
      <xdr:col>30</xdr:col>
      <xdr:colOff>104775</xdr:colOff>
      <xdr:row>35</xdr:row>
      <xdr:rowOff>66675</xdr:rowOff>
    </xdr:from>
    <xdr:ext cx="1369606" cy="817183"/>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3933825" y="7656195"/>
          <a:ext cx="1369060" cy="816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latin typeface="Courier New" panose="02070609020205020404" pitchFamily="49" charset="0"/>
              <a:cs typeface="Courier New" panose="02070609020205020404" pitchFamily="49" charset="0"/>
            </a:rPr>
            <a:t>AWC IDR 55.500</a:t>
          </a:r>
        </a:p>
        <a:p>
          <a:pPr algn="ctr"/>
          <a:r>
            <a:rPr lang="en-ID" sz="1100">
              <a:latin typeface="Courier New" panose="02070609020205020404" pitchFamily="49" charset="0"/>
              <a:cs typeface="Courier New" panose="02070609020205020404" pitchFamily="49" charset="0"/>
            </a:rPr>
            <a:t>ZB IDR 84</a:t>
          </a:r>
        </a:p>
        <a:p>
          <a:pPr algn="ctr"/>
          <a:r>
            <a:rPr lang="en-ID" sz="1100" baseline="0">
              <a:latin typeface="Courier New" panose="02070609020205020404" pitchFamily="49" charset="0"/>
              <a:cs typeface="Courier New" panose="02070609020205020404" pitchFamily="49" charset="0"/>
            </a:rPr>
            <a:t>MYC </a:t>
          </a:r>
          <a:r>
            <a:rPr lang="en-ID" sz="1100">
              <a:latin typeface="Courier New" panose="02070609020205020404" pitchFamily="49" charset="0"/>
              <a:cs typeface="Courier New" panose="02070609020205020404" pitchFamily="49" charset="0"/>
            </a:rPr>
            <a:t>IDR 1.887</a:t>
          </a:r>
        </a:p>
        <a:p>
          <a:pPr algn="ctr"/>
          <a:r>
            <a:rPr lang="en-ID" sz="1100">
              <a:solidFill>
                <a:schemeClr val="tx1"/>
              </a:solidFill>
              <a:effectLst/>
              <a:latin typeface="Courier New" panose="02070609020205020404" pitchFamily="49" charset="0"/>
              <a:ea typeface="+mn-ea"/>
              <a:cs typeface="Courier New" panose="02070609020205020404" pitchFamily="49" charset="0"/>
            </a:rPr>
            <a:t>FCC IDR 533</a:t>
          </a:r>
          <a:endParaRPr lang="en-ID" sz="1100">
            <a:latin typeface="Courier New" panose="02070609020205020404" pitchFamily="49" charset="0"/>
            <a:cs typeface="Courier New" panose="02070609020205020404" pitchFamily="49" charset="0"/>
          </a:endParaRPr>
        </a:p>
      </xdr:txBody>
    </xdr:sp>
    <xdr:clientData/>
  </xdr:oneCellAnchor>
  <xdr:oneCellAnchor>
    <xdr:from>
      <xdr:col>43</xdr:col>
      <xdr:colOff>19050</xdr:colOff>
      <xdr:row>28</xdr:row>
      <xdr:rowOff>0</xdr:rowOff>
    </xdr:from>
    <xdr:ext cx="2192908" cy="2260149"/>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5507355" y="6096000"/>
          <a:ext cx="2192655" cy="22599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a:latin typeface="Courier New" panose="02070609020205020404" pitchFamily="49" charset="0"/>
              <a:cs typeface="Courier New" panose="02070609020205020404" pitchFamily="49" charset="0"/>
            </a:rPr>
            <a:t>COURIER SHIPMENT</a:t>
          </a:r>
        </a:p>
        <a:p>
          <a:r>
            <a:rPr lang="en-ID" sz="900">
              <a:latin typeface="Courier New" panose="02070609020205020404" pitchFamily="49" charset="0"/>
              <a:cs typeface="Courier New" panose="02070609020205020404" pitchFamily="49" charset="0"/>
            </a:rPr>
            <a:t>HS CODE: 63071090</a:t>
          </a:r>
        </a:p>
        <a:p>
          <a:r>
            <a:rPr lang="en-ID" sz="900">
              <a:latin typeface="Courier New" panose="02070609020205020404" pitchFamily="49" charset="0"/>
              <a:cs typeface="Courier New" panose="02070609020205020404" pitchFamily="49" charset="0"/>
            </a:rPr>
            <a:t>HS CODE: 56012290</a:t>
          </a:r>
        </a:p>
        <a:p>
          <a:r>
            <a:rPr lang="en-ID" sz="900">
              <a:latin typeface="Courier New" panose="02070609020205020404" pitchFamily="49" charset="0"/>
              <a:cs typeface="Courier New" panose="02070609020205020404" pitchFamily="49" charset="0"/>
            </a:rPr>
            <a:t>HS CODE: 33073000</a:t>
          </a:r>
        </a:p>
        <a:p>
          <a:r>
            <a:rPr lang="en-ID" sz="900">
              <a:latin typeface="Courier New" panose="02070609020205020404" pitchFamily="49" charset="0"/>
              <a:cs typeface="Courier New" panose="02070609020205020404" pitchFamily="49" charset="0"/>
            </a:rPr>
            <a:t>HS CODE: 62171090</a:t>
          </a:r>
        </a:p>
        <a:p>
          <a:r>
            <a:rPr lang="en-ID" sz="900">
              <a:latin typeface="Courier New" panose="02070609020205020404" pitchFamily="49" charset="0"/>
              <a:cs typeface="Courier New" panose="02070609020205020404" pitchFamily="49" charset="0"/>
            </a:rPr>
            <a:t>HS CODE: 19059090</a:t>
          </a:r>
        </a:p>
        <a:p>
          <a:r>
            <a:rPr lang="en-ID" sz="900">
              <a:latin typeface="Courier New" panose="02070609020205020404" pitchFamily="49" charset="0"/>
              <a:cs typeface="Courier New" panose="02070609020205020404" pitchFamily="49" charset="0"/>
            </a:rPr>
            <a:t>DIMS</a:t>
          </a:r>
        </a:p>
        <a:p>
          <a:r>
            <a:rPr lang="en-ID" sz="900">
              <a:latin typeface="Courier New" panose="02070609020205020404" pitchFamily="49" charset="0"/>
              <a:cs typeface="Courier New" panose="02070609020205020404" pitchFamily="49" charset="0"/>
            </a:rPr>
            <a:t>73X38X32 / 1     77X38X26 / 1</a:t>
          </a:r>
        </a:p>
        <a:p>
          <a:r>
            <a:rPr lang="en-ID" sz="900">
              <a:latin typeface="Courier New" panose="02070609020205020404" pitchFamily="49" charset="0"/>
              <a:cs typeface="Courier New" panose="02070609020205020404" pitchFamily="49" charset="0"/>
            </a:rPr>
            <a:t>70X40X25 / 1     70X38X30 / 1</a:t>
          </a:r>
        </a:p>
        <a:p>
          <a:r>
            <a:rPr lang="en-ID" sz="900">
              <a:latin typeface="Courier New" panose="02070609020205020404" pitchFamily="49" charset="0"/>
              <a:cs typeface="Courier New" panose="02070609020205020404" pitchFamily="49" charset="0"/>
            </a:rPr>
            <a:t>77X38X26 / 1     40X35X23 / 1</a:t>
          </a:r>
        </a:p>
        <a:p>
          <a:r>
            <a:rPr lang="en-ID" sz="900">
              <a:latin typeface="Courier New" panose="02070609020205020404" pitchFamily="49" charset="0"/>
              <a:cs typeface="Courier New" panose="02070609020205020404" pitchFamily="49" charset="0"/>
            </a:rPr>
            <a:t>56X50X21 / 1     45X28X24 / 1</a:t>
          </a:r>
        </a:p>
        <a:p>
          <a:r>
            <a:rPr lang="en-ID" sz="900">
              <a:latin typeface="Courier New" panose="02070609020205020404" pitchFamily="49" charset="0"/>
              <a:cs typeface="Courier New" panose="02070609020205020404" pitchFamily="49" charset="0"/>
            </a:rPr>
            <a:t>74X34X25 / 1     80X40X30 / 1</a:t>
          </a:r>
        </a:p>
        <a:p>
          <a:r>
            <a:rPr lang="en-ID" sz="900">
              <a:latin typeface="Courier New" panose="02070609020205020404" pitchFamily="49" charset="0"/>
              <a:cs typeface="Courier New" panose="02070609020205020404" pitchFamily="49" charset="0"/>
            </a:rPr>
            <a:t>70X60X20 / 2     65X40X25 / 3</a:t>
          </a:r>
        </a:p>
        <a:p>
          <a:r>
            <a:rPr lang="en-ID" sz="900">
              <a:latin typeface="Courier New" panose="02070609020205020404" pitchFamily="49" charset="0"/>
              <a:cs typeface="Courier New" panose="02070609020205020404" pitchFamily="49" charset="0"/>
            </a:rPr>
            <a:t>70X50X20 / 3     57X40X30 / 1</a:t>
          </a:r>
        </a:p>
        <a:p>
          <a:r>
            <a:rPr lang="en-ID" sz="900">
              <a:latin typeface="Courier New" panose="02070609020205020404" pitchFamily="49" charset="0"/>
              <a:cs typeface="Courier New" panose="02070609020205020404" pitchFamily="49" charset="0"/>
            </a:rPr>
            <a:t>50X40X20 / 2     75X40X30 / 2</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56"/>
  <sheetViews>
    <sheetView showGridLines="0" view="pageLayout" topLeftCell="A15" zoomScale="119" zoomScaleNormal="100" zoomScalePageLayoutView="119" workbookViewId="0">
      <selection activeCell="G57" sqref="G57"/>
    </sheetView>
  </sheetViews>
  <sheetFormatPr defaultColWidth="9" defaultRowHeight="15"/>
  <cols>
    <col min="1" max="65" width="1.5703125" customWidth="1"/>
  </cols>
  <sheetData>
    <row r="1" spans="1:64" ht="22.5" customHeight="1">
      <c r="A1" s="456">
        <v>126</v>
      </c>
      <c r="B1" s="456"/>
      <c r="C1" s="456"/>
      <c r="D1" s="457" t="s">
        <v>0</v>
      </c>
      <c r="E1" s="458"/>
      <c r="F1" s="459"/>
      <c r="G1" s="460">
        <v>91929552</v>
      </c>
      <c r="H1" s="460"/>
      <c r="I1" s="460"/>
      <c r="J1" s="460"/>
      <c r="K1" s="460"/>
      <c r="L1" s="460"/>
      <c r="M1" s="460"/>
      <c r="N1" s="460"/>
      <c r="O1" s="460"/>
      <c r="P1" s="460"/>
      <c r="Q1" s="460"/>
      <c r="R1" s="460"/>
      <c r="S1" s="460"/>
      <c r="T1" s="210"/>
      <c r="U1" s="211"/>
      <c r="V1" s="210"/>
      <c r="W1" s="210"/>
      <c r="X1" s="210"/>
      <c r="Y1" s="210"/>
      <c r="Z1" s="210"/>
      <c r="AA1" s="210"/>
      <c r="AB1" s="210"/>
      <c r="AC1" s="210"/>
      <c r="AD1" s="210"/>
      <c r="AE1" s="210"/>
      <c r="AF1" s="210"/>
      <c r="AG1" s="210"/>
      <c r="AT1" s="461" t="str">
        <f>A1&amp;"-"&amp;G1</f>
        <v>126-91929552</v>
      </c>
      <c r="AU1" s="461"/>
      <c r="AV1" s="461"/>
      <c r="AW1" s="461"/>
      <c r="AX1" s="461"/>
      <c r="AY1" s="461"/>
      <c r="AZ1" s="461"/>
      <c r="BA1" s="461"/>
      <c r="BB1" s="461"/>
      <c r="BC1" s="461"/>
      <c r="BD1" s="461"/>
      <c r="BE1" s="461"/>
      <c r="BF1" s="461"/>
      <c r="BG1" s="461"/>
      <c r="BH1" s="461"/>
      <c r="BI1" s="461"/>
      <c r="BJ1" s="461"/>
    </row>
    <row r="2" spans="1:64" ht="15" customHeight="1">
      <c r="A2" s="212" t="s">
        <v>1</v>
      </c>
      <c r="B2" s="64"/>
      <c r="C2" s="64"/>
      <c r="D2" s="2"/>
      <c r="E2" s="2"/>
      <c r="F2" s="2"/>
      <c r="G2" s="2"/>
      <c r="H2" s="2"/>
      <c r="I2" s="2"/>
      <c r="J2" s="2"/>
      <c r="K2" s="2"/>
      <c r="L2" s="2"/>
      <c r="M2" s="2"/>
      <c r="N2" s="2"/>
      <c r="O2" s="2"/>
      <c r="P2" s="2"/>
      <c r="Q2" s="2"/>
      <c r="R2" s="2"/>
      <c r="S2" s="2"/>
      <c r="T2" s="213" t="s">
        <v>2</v>
      </c>
      <c r="U2" s="64"/>
      <c r="V2" s="64"/>
      <c r="W2" s="64"/>
      <c r="X2" s="64"/>
      <c r="Y2" s="64"/>
      <c r="Z2" s="64"/>
      <c r="AA2" s="64"/>
      <c r="AB2" s="64"/>
      <c r="AC2" s="64"/>
      <c r="AD2" s="64"/>
      <c r="AE2" s="64"/>
      <c r="AF2" s="64"/>
      <c r="AG2" s="214"/>
      <c r="AH2" s="215" t="s">
        <v>3</v>
      </c>
      <c r="AI2" s="216"/>
      <c r="AJ2" s="216"/>
      <c r="AK2" s="216"/>
      <c r="AL2" s="216"/>
      <c r="AM2" s="216"/>
      <c r="AN2" s="475" t="s">
        <v>4</v>
      </c>
      <c r="AO2" s="475"/>
      <c r="AP2" s="475"/>
      <c r="AQ2" s="475"/>
      <c r="AR2" s="475"/>
      <c r="AS2" s="475"/>
      <c r="AT2" s="475"/>
      <c r="AU2" s="475"/>
      <c r="AV2" s="475"/>
      <c r="AW2" s="475"/>
      <c r="AX2" s="475"/>
      <c r="AY2" s="475"/>
      <c r="AZ2" s="475"/>
      <c r="BA2" s="475"/>
      <c r="BB2" s="475"/>
      <c r="BC2" s="475"/>
      <c r="BD2" s="475"/>
      <c r="BE2" s="475"/>
      <c r="BF2" s="475"/>
      <c r="BG2" s="475"/>
      <c r="BH2" s="475"/>
      <c r="BI2" s="475"/>
      <c r="BJ2" s="475"/>
      <c r="BK2" s="475"/>
      <c r="BL2" s="476"/>
    </row>
    <row r="3" spans="1:64" ht="16.5" customHeight="1">
      <c r="A3" s="217" t="s">
        <v>5</v>
      </c>
      <c r="B3" s="218"/>
      <c r="C3" s="6"/>
      <c r="D3" s="6"/>
      <c r="E3" s="6"/>
      <c r="F3" s="6"/>
      <c r="G3" s="6"/>
      <c r="H3" s="6"/>
      <c r="I3" s="6"/>
      <c r="J3" s="6"/>
      <c r="K3" s="6"/>
      <c r="L3" s="6"/>
      <c r="M3" s="6"/>
      <c r="N3" s="6"/>
      <c r="O3" s="6"/>
      <c r="P3" s="6"/>
      <c r="Q3" s="6"/>
      <c r="R3" s="6"/>
      <c r="S3" s="6"/>
      <c r="T3" s="64"/>
      <c r="U3" s="64"/>
      <c r="V3" s="64"/>
      <c r="W3" s="64"/>
      <c r="X3" s="64"/>
      <c r="Y3" s="64"/>
      <c r="Z3" s="64"/>
      <c r="AA3" s="64"/>
      <c r="AB3" s="64"/>
      <c r="AC3" s="64"/>
      <c r="AD3" s="64"/>
      <c r="AE3" s="64"/>
      <c r="AF3" s="64"/>
      <c r="AG3" s="214"/>
      <c r="AH3" s="219" t="s">
        <v>6</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77"/>
    </row>
    <row r="4" spans="1:64" ht="15" customHeight="1">
      <c r="A4" s="480" t="s">
        <v>7</v>
      </c>
      <c r="B4" s="481"/>
      <c r="C4" s="481"/>
      <c r="D4" s="481"/>
      <c r="E4" s="481"/>
      <c r="F4" s="481"/>
      <c r="G4" s="481"/>
      <c r="H4" s="481"/>
      <c r="I4" s="481"/>
      <c r="J4" s="481"/>
      <c r="K4" s="481"/>
      <c r="L4" s="481"/>
      <c r="M4" s="481"/>
      <c r="N4" s="481"/>
      <c r="O4" s="481"/>
      <c r="P4" s="481"/>
      <c r="Q4" s="481"/>
      <c r="R4" s="481"/>
      <c r="S4" s="481"/>
      <c r="T4" s="481"/>
      <c r="U4" s="481"/>
      <c r="V4" s="481"/>
      <c r="W4" s="481"/>
      <c r="X4" s="481"/>
      <c r="Y4" s="481"/>
      <c r="Z4" s="481"/>
      <c r="AA4" s="481"/>
      <c r="AB4" s="481"/>
      <c r="AC4" s="481"/>
      <c r="AD4" s="481"/>
      <c r="AE4" s="481"/>
      <c r="AF4" s="481"/>
      <c r="AG4" s="482"/>
      <c r="AH4" s="220"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77"/>
    </row>
    <row r="5" spans="1:64" ht="15" customHeight="1">
      <c r="A5" s="483"/>
      <c r="B5" s="481"/>
      <c r="C5" s="481"/>
      <c r="D5" s="481"/>
      <c r="E5" s="481"/>
      <c r="F5" s="481"/>
      <c r="G5" s="481"/>
      <c r="H5" s="481"/>
      <c r="I5" s="481"/>
      <c r="J5" s="481"/>
      <c r="K5" s="481"/>
      <c r="L5" s="481"/>
      <c r="M5" s="481"/>
      <c r="N5" s="481"/>
      <c r="O5" s="481"/>
      <c r="P5" s="481"/>
      <c r="Q5" s="481"/>
      <c r="R5" s="481"/>
      <c r="S5" s="481"/>
      <c r="T5" s="481"/>
      <c r="U5" s="481"/>
      <c r="V5" s="481"/>
      <c r="W5" s="481"/>
      <c r="X5" s="481"/>
      <c r="Y5" s="481"/>
      <c r="Z5" s="481"/>
      <c r="AA5" s="481"/>
      <c r="AB5" s="481"/>
      <c r="AC5" s="481"/>
      <c r="AD5" s="481"/>
      <c r="AE5" s="481"/>
      <c r="AF5" s="481"/>
      <c r="AG5" s="482"/>
      <c r="AH5" s="11"/>
      <c r="AI5" s="11"/>
      <c r="AJ5" s="11"/>
      <c r="AK5" s="11"/>
      <c r="AL5" s="11"/>
      <c r="AM5" s="11"/>
      <c r="AN5" s="478"/>
      <c r="AO5" s="478"/>
      <c r="AP5" s="478"/>
      <c r="AQ5" s="478"/>
      <c r="AR5" s="478"/>
      <c r="AS5" s="478"/>
      <c r="AT5" s="478"/>
      <c r="AU5" s="478"/>
      <c r="AV5" s="478"/>
      <c r="AW5" s="478"/>
      <c r="AX5" s="478"/>
      <c r="AY5" s="478"/>
      <c r="AZ5" s="478"/>
      <c r="BA5" s="478"/>
      <c r="BB5" s="478"/>
      <c r="BC5" s="478"/>
      <c r="BD5" s="478"/>
      <c r="BE5" s="478"/>
      <c r="BF5" s="478"/>
      <c r="BG5" s="478"/>
      <c r="BH5" s="478"/>
      <c r="BI5" s="478"/>
      <c r="BJ5" s="478"/>
      <c r="BK5" s="478"/>
      <c r="BL5" s="479"/>
    </row>
    <row r="6" spans="1:64">
      <c r="A6" s="484"/>
      <c r="B6" s="485"/>
      <c r="C6" s="485"/>
      <c r="D6" s="485"/>
      <c r="E6" s="485"/>
      <c r="F6" s="485"/>
      <c r="G6" s="485"/>
      <c r="H6" s="485"/>
      <c r="I6" s="485"/>
      <c r="J6" s="485"/>
      <c r="K6" s="485"/>
      <c r="L6" s="485"/>
      <c r="M6" s="485"/>
      <c r="N6" s="485"/>
      <c r="O6" s="485"/>
      <c r="P6" s="485"/>
      <c r="Q6" s="485"/>
      <c r="R6" s="485"/>
      <c r="S6" s="485"/>
      <c r="T6" s="485"/>
      <c r="U6" s="485"/>
      <c r="V6" s="485"/>
      <c r="W6" s="485"/>
      <c r="X6" s="485"/>
      <c r="Y6" s="485"/>
      <c r="Z6" s="485"/>
      <c r="AA6" s="485"/>
      <c r="AB6" s="485"/>
      <c r="AC6" s="485"/>
      <c r="AD6" s="485"/>
      <c r="AE6" s="485"/>
      <c r="AF6" s="485"/>
      <c r="AG6" s="486"/>
      <c r="AH6" s="462" t="s">
        <v>9</v>
      </c>
      <c r="AI6" s="463"/>
      <c r="AJ6" s="463"/>
      <c r="AK6" s="463"/>
      <c r="AL6" s="463"/>
      <c r="AM6" s="463"/>
      <c r="AN6" s="463"/>
      <c r="AO6" s="463"/>
      <c r="AP6" s="463"/>
      <c r="AQ6" s="463"/>
      <c r="AR6" s="463"/>
      <c r="AS6" s="463"/>
      <c r="AT6" s="463"/>
      <c r="AU6" s="463"/>
      <c r="AV6" s="463"/>
      <c r="AW6" s="463"/>
      <c r="AX6" s="463"/>
      <c r="AY6" s="463"/>
      <c r="AZ6" s="463"/>
      <c r="BA6" s="463"/>
      <c r="BB6" s="463"/>
      <c r="BC6" s="463"/>
      <c r="BD6" s="463"/>
      <c r="BE6" s="463"/>
      <c r="BF6" s="463"/>
      <c r="BG6" s="463"/>
      <c r="BH6" s="463"/>
      <c r="BI6" s="463"/>
      <c r="BJ6" s="463"/>
      <c r="BK6" s="463"/>
      <c r="BL6" s="464"/>
    </row>
    <row r="7" spans="1:64">
      <c r="A7" s="465" t="s">
        <v>10</v>
      </c>
      <c r="B7" s="466"/>
      <c r="C7" s="466"/>
      <c r="D7" s="466"/>
      <c r="E7" s="466"/>
      <c r="F7" s="466"/>
      <c r="G7" s="466"/>
      <c r="H7" s="466"/>
      <c r="I7" s="466"/>
      <c r="J7" s="466"/>
      <c r="K7" s="466"/>
      <c r="L7" s="466"/>
      <c r="M7" s="466"/>
      <c r="N7" s="466"/>
      <c r="O7" s="466"/>
      <c r="P7" s="466"/>
      <c r="Q7" s="466"/>
      <c r="R7" s="466"/>
      <c r="S7" s="466"/>
      <c r="T7" s="466" t="s">
        <v>11</v>
      </c>
      <c r="U7" s="466"/>
      <c r="V7" s="466"/>
      <c r="W7" s="466"/>
      <c r="X7" s="466"/>
      <c r="Y7" s="466"/>
      <c r="Z7" s="466"/>
      <c r="AA7" s="466"/>
      <c r="AB7" s="466"/>
      <c r="AC7" s="466"/>
      <c r="AD7" s="466"/>
      <c r="AE7" s="466"/>
      <c r="AF7" s="466"/>
      <c r="AG7" s="467"/>
      <c r="AH7" s="500" t="s">
        <v>12</v>
      </c>
      <c r="AI7" s="501"/>
      <c r="AJ7" s="501"/>
      <c r="AK7" s="501"/>
      <c r="AL7" s="501"/>
      <c r="AM7" s="501"/>
      <c r="AN7" s="501"/>
      <c r="AO7" s="501"/>
      <c r="AP7" s="501"/>
      <c r="AQ7" s="501"/>
      <c r="AR7" s="501"/>
      <c r="AS7" s="501"/>
      <c r="AT7" s="501"/>
      <c r="AU7" s="501"/>
      <c r="AV7" s="501"/>
      <c r="AW7" s="501"/>
      <c r="AX7" s="501"/>
      <c r="AY7" s="501"/>
      <c r="AZ7" s="501"/>
      <c r="BA7" s="501"/>
      <c r="BB7" s="501"/>
      <c r="BC7" s="501"/>
      <c r="BD7" s="501"/>
      <c r="BE7" s="501"/>
      <c r="BF7" s="501"/>
      <c r="BG7" s="501"/>
      <c r="BH7" s="501"/>
      <c r="BI7" s="501"/>
      <c r="BJ7" s="501"/>
      <c r="BK7" s="501"/>
      <c r="BL7" s="502"/>
    </row>
    <row r="8" spans="1:64">
      <c r="A8" s="258" t="s">
        <v>13</v>
      </c>
      <c r="B8" s="15"/>
      <c r="C8" s="15"/>
      <c r="D8" s="15"/>
      <c r="E8" s="15"/>
      <c r="F8" s="15"/>
      <c r="G8" s="15"/>
      <c r="H8" s="15"/>
      <c r="I8" s="15"/>
      <c r="J8" s="15"/>
      <c r="K8" s="15"/>
      <c r="L8" s="15"/>
      <c r="M8" s="15"/>
      <c r="N8" s="15"/>
      <c r="O8" s="15"/>
      <c r="P8" s="15"/>
      <c r="Q8" s="15"/>
      <c r="R8" s="15"/>
      <c r="S8" s="15"/>
      <c r="T8" s="64"/>
      <c r="U8" s="64"/>
      <c r="V8" s="64"/>
      <c r="W8" s="64"/>
      <c r="X8" s="64"/>
      <c r="Y8" s="64"/>
      <c r="Z8" s="64"/>
      <c r="AA8" s="64"/>
      <c r="AB8" s="64"/>
      <c r="AC8" s="64"/>
      <c r="AD8" s="64"/>
      <c r="AE8" s="64"/>
      <c r="AF8" s="64"/>
      <c r="AG8" s="214"/>
      <c r="AH8" s="503"/>
      <c r="AI8" s="504"/>
      <c r="AJ8" s="504"/>
      <c r="AK8" s="504"/>
      <c r="AL8" s="504"/>
      <c r="AM8" s="504"/>
      <c r="AN8" s="504"/>
      <c r="AO8" s="504"/>
      <c r="AP8" s="504"/>
      <c r="AQ8" s="504"/>
      <c r="AR8" s="504"/>
      <c r="AS8" s="504"/>
      <c r="AT8" s="504"/>
      <c r="AU8" s="504"/>
      <c r="AV8" s="504"/>
      <c r="AW8" s="504"/>
      <c r="AX8" s="504"/>
      <c r="AY8" s="504"/>
      <c r="AZ8" s="504"/>
      <c r="BA8" s="504"/>
      <c r="BB8" s="504"/>
      <c r="BC8" s="504"/>
      <c r="BD8" s="504"/>
      <c r="BE8" s="504"/>
      <c r="BF8" s="504"/>
      <c r="BG8" s="504"/>
      <c r="BH8" s="504"/>
      <c r="BI8" s="504"/>
      <c r="BJ8" s="504"/>
      <c r="BK8" s="504"/>
      <c r="BL8" s="505"/>
    </row>
    <row r="9" spans="1:64">
      <c r="A9" s="487" t="s">
        <v>14</v>
      </c>
      <c r="B9" s="488"/>
      <c r="C9" s="488"/>
      <c r="D9" s="488"/>
      <c r="E9" s="488"/>
      <c r="F9" s="488"/>
      <c r="G9" s="488"/>
      <c r="H9" s="488"/>
      <c r="I9" s="488"/>
      <c r="J9" s="488"/>
      <c r="K9" s="488"/>
      <c r="L9" s="488"/>
      <c r="M9" s="488"/>
      <c r="N9" s="488"/>
      <c r="O9" s="488"/>
      <c r="P9" s="488"/>
      <c r="Q9" s="488"/>
      <c r="R9" s="488"/>
      <c r="S9" s="488"/>
      <c r="T9" s="488"/>
      <c r="U9" s="488"/>
      <c r="V9" s="488"/>
      <c r="W9" s="488"/>
      <c r="X9" s="488"/>
      <c r="Y9" s="488"/>
      <c r="Z9" s="488"/>
      <c r="AA9" s="488"/>
      <c r="AB9" s="488"/>
      <c r="AC9" s="488"/>
      <c r="AD9" s="488"/>
      <c r="AE9" s="488"/>
      <c r="AF9" s="488"/>
      <c r="AG9" s="489"/>
      <c r="AH9" s="503"/>
      <c r="AI9" s="504"/>
      <c r="AJ9" s="504"/>
      <c r="AK9" s="504"/>
      <c r="AL9" s="504"/>
      <c r="AM9" s="504"/>
      <c r="AN9" s="504"/>
      <c r="AO9" s="504"/>
      <c r="AP9" s="504"/>
      <c r="AQ9" s="504"/>
      <c r="AR9" s="504"/>
      <c r="AS9" s="504"/>
      <c r="AT9" s="504"/>
      <c r="AU9" s="504"/>
      <c r="AV9" s="504"/>
      <c r="AW9" s="504"/>
      <c r="AX9" s="504"/>
      <c r="AY9" s="504"/>
      <c r="AZ9" s="504"/>
      <c r="BA9" s="504"/>
      <c r="BB9" s="504"/>
      <c r="BC9" s="504"/>
      <c r="BD9" s="504"/>
      <c r="BE9" s="504"/>
      <c r="BF9" s="504"/>
      <c r="BG9" s="504"/>
      <c r="BH9" s="504"/>
      <c r="BI9" s="504"/>
      <c r="BJ9" s="504"/>
      <c r="BK9" s="504"/>
      <c r="BL9" s="505"/>
    </row>
    <row r="10" spans="1:64">
      <c r="A10" s="490"/>
      <c r="B10" s="488"/>
      <c r="C10" s="488"/>
      <c r="D10" s="488"/>
      <c r="E10" s="488"/>
      <c r="F10" s="488"/>
      <c r="G10" s="488"/>
      <c r="H10" s="488"/>
      <c r="I10" s="488"/>
      <c r="J10" s="488"/>
      <c r="K10" s="488"/>
      <c r="L10" s="488"/>
      <c r="M10" s="488"/>
      <c r="N10" s="488"/>
      <c r="O10" s="488"/>
      <c r="P10" s="488"/>
      <c r="Q10" s="488"/>
      <c r="R10" s="488"/>
      <c r="S10" s="488"/>
      <c r="T10" s="488"/>
      <c r="U10" s="488"/>
      <c r="V10" s="488"/>
      <c r="W10" s="488"/>
      <c r="X10" s="488"/>
      <c r="Y10" s="488"/>
      <c r="Z10" s="488"/>
      <c r="AA10" s="488"/>
      <c r="AB10" s="488"/>
      <c r="AC10" s="488"/>
      <c r="AD10" s="488"/>
      <c r="AE10" s="488"/>
      <c r="AF10" s="488"/>
      <c r="AG10" s="489"/>
      <c r="AH10" s="503"/>
      <c r="AI10" s="504"/>
      <c r="AJ10" s="504"/>
      <c r="AK10" s="504"/>
      <c r="AL10" s="504"/>
      <c r="AM10" s="504"/>
      <c r="AN10" s="504"/>
      <c r="AO10" s="504"/>
      <c r="AP10" s="504"/>
      <c r="AQ10" s="504"/>
      <c r="AR10" s="504"/>
      <c r="AS10" s="504"/>
      <c r="AT10" s="504"/>
      <c r="AU10" s="504"/>
      <c r="AV10" s="504"/>
      <c r="AW10" s="504"/>
      <c r="AX10" s="504"/>
      <c r="AY10" s="504"/>
      <c r="AZ10" s="504"/>
      <c r="BA10" s="504"/>
      <c r="BB10" s="504"/>
      <c r="BC10" s="504"/>
      <c r="BD10" s="504"/>
      <c r="BE10" s="504"/>
      <c r="BF10" s="504"/>
      <c r="BG10" s="504"/>
      <c r="BH10" s="504"/>
      <c r="BI10" s="504"/>
      <c r="BJ10" s="504"/>
      <c r="BK10" s="504"/>
      <c r="BL10" s="505"/>
    </row>
    <row r="11" spans="1:64">
      <c r="A11" s="490"/>
      <c r="B11" s="488"/>
      <c r="C11" s="488"/>
      <c r="D11" s="488"/>
      <c r="E11" s="488"/>
      <c r="F11" s="488"/>
      <c r="G11" s="488"/>
      <c r="H11" s="488"/>
      <c r="I11" s="488"/>
      <c r="J11" s="488"/>
      <c r="K11" s="488"/>
      <c r="L11" s="488"/>
      <c r="M11" s="488"/>
      <c r="N11" s="488"/>
      <c r="O11" s="488"/>
      <c r="P11" s="488"/>
      <c r="Q11" s="488"/>
      <c r="R11" s="488"/>
      <c r="S11" s="488"/>
      <c r="T11" s="488"/>
      <c r="U11" s="488"/>
      <c r="V11" s="488"/>
      <c r="W11" s="488"/>
      <c r="X11" s="488"/>
      <c r="Y11" s="488"/>
      <c r="Z11" s="488"/>
      <c r="AA11" s="488"/>
      <c r="AB11" s="488"/>
      <c r="AC11" s="488"/>
      <c r="AD11" s="488"/>
      <c r="AE11" s="488"/>
      <c r="AF11" s="488"/>
      <c r="AG11" s="489"/>
      <c r="AH11" s="503"/>
      <c r="AI11" s="504"/>
      <c r="AJ11" s="504"/>
      <c r="AK11" s="504"/>
      <c r="AL11" s="504"/>
      <c r="AM11" s="504"/>
      <c r="AN11" s="504"/>
      <c r="AO11" s="504"/>
      <c r="AP11" s="504"/>
      <c r="AQ11" s="504"/>
      <c r="AR11" s="504"/>
      <c r="AS11" s="504"/>
      <c r="AT11" s="504"/>
      <c r="AU11" s="504"/>
      <c r="AV11" s="504"/>
      <c r="AW11" s="504"/>
      <c r="AX11" s="504"/>
      <c r="AY11" s="504"/>
      <c r="AZ11" s="504"/>
      <c r="BA11" s="504"/>
      <c r="BB11" s="504"/>
      <c r="BC11" s="504"/>
      <c r="BD11" s="504"/>
      <c r="BE11" s="504"/>
      <c r="BF11" s="504"/>
      <c r="BG11" s="504"/>
      <c r="BH11" s="504"/>
      <c r="BI11" s="504"/>
      <c r="BJ11" s="504"/>
      <c r="BK11" s="504"/>
      <c r="BL11" s="505"/>
    </row>
    <row r="12" spans="1:64">
      <c r="A12" s="491"/>
      <c r="B12" s="492"/>
      <c r="C12" s="492"/>
      <c r="D12" s="492"/>
      <c r="E12" s="492"/>
      <c r="F12" s="492"/>
      <c r="G12" s="492"/>
      <c r="H12" s="492"/>
      <c r="I12" s="492"/>
      <c r="J12" s="492"/>
      <c r="K12" s="492"/>
      <c r="L12" s="492"/>
      <c r="M12" s="492"/>
      <c r="N12" s="492"/>
      <c r="O12" s="492"/>
      <c r="P12" s="492"/>
      <c r="Q12" s="492"/>
      <c r="R12" s="492"/>
      <c r="S12" s="492"/>
      <c r="T12" s="492"/>
      <c r="U12" s="492"/>
      <c r="V12" s="492"/>
      <c r="W12" s="492"/>
      <c r="X12" s="492"/>
      <c r="Y12" s="492"/>
      <c r="Z12" s="492"/>
      <c r="AA12" s="492"/>
      <c r="AB12" s="492"/>
      <c r="AC12" s="492"/>
      <c r="AD12" s="492"/>
      <c r="AE12" s="492"/>
      <c r="AF12" s="492"/>
      <c r="AG12" s="493"/>
      <c r="AH12" s="506"/>
      <c r="AI12" s="507"/>
      <c r="AJ12" s="507"/>
      <c r="AK12" s="507"/>
      <c r="AL12" s="507"/>
      <c r="AM12" s="507"/>
      <c r="AN12" s="507"/>
      <c r="AO12" s="507"/>
      <c r="AP12" s="507"/>
      <c r="AQ12" s="507"/>
      <c r="AR12" s="507"/>
      <c r="AS12" s="507"/>
      <c r="AT12" s="507"/>
      <c r="AU12" s="507"/>
      <c r="AV12" s="507"/>
      <c r="AW12" s="507"/>
      <c r="AX12" s="507"/>
      <c r="AY12" s="507"/>
      <c r="AZ12" s="507"/>
      <c r="BA12" s="507"/>
      <c r="BB12" s="507"/>
      <c r="BC12" s="507"/>
      <c r="BD12" s="507"/>
      <c r="BE12" s="507"/>
      <c r="BF12" s="507"/>
      <c r="BG12" s="507"/>
      <c r="BH12" s="507"/>
      <c r="BI12" s="507"/>
      <c r="BJ12" s="507"/>
      <c r="BK12" s="507"/>
      <c r="BL12" s="508"/>
    </row>
    <row r="13" spans="1:64">
      <c r="A13" s="465" t="s">
        <v>15</v>
      </c>
      <c r="B13" s="466"/>
      <c r="C13" s="466"/>
      <c r="D13" s="466"/>
      <c r="E13" s="466"/>
      <c r="F13" s="466"/>
      <c r="G13" s="466"/>
      <c r="H13" s="466"/>
      <c r="I13" s="466"/>
      <c r="J13" s="466"/>
      <c r="K13" s="466"/>
      <c r="L13" s="466"/>
      <c r="M13" s="466"/>
      <c r="N13" s="466"/>
      <c r="O13" s="466"/>
      <c r="P13" s="466"/>
      <c r="Q13" s="466"/>
      <c r="R13" s="466"/>
      <c r="S13" s="466"/>
      <c r="T13" s="466"/>
      <c r="U13" s="466"/>
      <c r="V13" s="466"/>
      <c r="W13" s="466"/>
      <c r="X13" s="466"/>
      <c r="Y13" s="466"/>
      <c r="Z13" s="466"/>
      <c r="AA13" s="466"/>
      <c r="AB13" s="466"/>
      <c r="AC13" s="466"/>
      <c r="AD13" s="466"/>
      <c r="AE13" s="466"/>
      <c r="AF13" s="466"/>
      <c r="AG13" s="467"/>
      <c r="AH13" s="547" t="s">
        <v>16</v>
      </c>
      <c r="AI13" s="548"/>
      <c r="AJ13" s="548"/>
      <c r="AK13" s="548"/>
      <c r="AL13" s="548"/>
      <c r="AM13" s="548"/>
      <c r="AN13" s="548"/>
      <c r="AO13" s="548"/>
      <c r="AP13" s="548"/>
      <c r="AQ13" s="548"/>
      <c r="AR13" s="548"/>
      <c r="AS13" s="548"/>
      <c r="AT13" s="548"/>
      <c r="AU13" s="548"/>
      <c r="AV13" s="548"/>
      <c r="AW13" s="548"/>
      <c r="AX13" s="548"/>
      <c r="AY13" s="548"/>
      <c r="AZ13" s="548"/>
      <c r="BA13" s="548"/>
      <c r="BB13" s="548"/>
      <c r="BC13" s="548"/>
      <c r="BD13" s="548"/>
      <c r="BE13" s="548"/>
      <c r="BF13" s="548"/>
      <c r="BG13" s="548"/>
      <c r="BH13" s="548"/>
      <c r="BI13" s="548"/>
      <c r="BJ13" s="548"/>
      <c r="BK13" s="548"/>
      <c r="BL13" s="549"/>
    </row>
    <row r="14" spans="1:64">
      <c r="A14" s="494" t="s">
        <v>17</v>
      </c>
      <c r="B14" s="495"/>
      <c r="C14" s="495"/>
      <c r="D14" s="495"/>
      <c r="E14" s="495"/>
      <c r="F14" s="495"/>
      <c r="G14" s="495"/>
      <c r="H14" s="495"/>
      <c r="I14" s="495"/>
      <c r="J14" s="495"/>
      <c r="K14" s="495"/>
      <c r="L14" s="495"/>
      <c r="M14" s="495"/>
      <c r="N14" s="495"/>
      <c r="O14" s="495"/>
      <c r="P14" s="495"/>
      <c r="Q14" s="495"/>
      <c r="R14" s="495"/>
      <c r="S14" s="495"/>
      <c r="T14" s="495"/>
      <c r="U14" s="495"/>
      <c r="V14" s="495"/>
      <c r="W14" s="495"/>
      <c r="X14" s="495"/>
      <c r="Y14" s="495"/>
      <c r="Z14" s="495"/>
      <c r="AA14" s="495"/>
      <c r="AB14" s="495"/>
      <c r="AC14" s="495"/>
      <c r="AD14" s="495"/>
      <c r="AE14" s="495"/>
      <c r="AF14" s="495"/>
      <c r="AG14" s="496"/>
      <c r="AH14" s="465"/>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6"/>
      <c r="BE14" s="466"/>
      <c r="BF14" s="466"/>
      <c r="BG14" s="466"/>
      <c r="BH14" s="466"/>
      <c r="BI14" s="466"/>
      <c r="BJ14" s="466"/>
      <c r="BK14" s="466"/>
      <c r="BL14" s="467"/>
    </row>
    <row r="15" spans="1:64">
      <c r="A15" s="497"/>
      <c r="B15" s="498"/>
      <c r="C15" s="498"/>
      <c r="D15" s="498"/>
      <c r="E15" s="498"/>
      <c r="F15" s="498"/>
      <c r="G15" s="498"/>
      <c r="H15" s="498"/>
      <c r="I15" s="498"/>
      <c r="J15" s="498"/>
      <c r="K15" s="498"/>
      <c r="L15" s="498"/>
      <c r="M15" s="498"/>
      <c r="N15" s="498"/>
      <c r="O15" s="498"/>
      <c r="P15" s="498"/>
      <c r="Q15" s="498"/>
      <c r="R15" s="498"/>
      <c r="S15" s="498"/>
      <c r="T15" s="498"/>
      <c r="U15" s="498"/>
      <c r="V15" s="498"/>
      <c r="W15" s="498"/>
      <c r="X15" s="498"/>
      <c r="Y15" s="498"/>
      <c r="Z15" s="498"/>
      <c r="AA15" s="498"/>
      <c r="AB15" s="498"/>
      <c r="AC15" s="498"/>
      <c r="AD15" s="498"/>
      <c r="AE15" s="498"/>
      <c r="AF15" s="498"/>
      <c r="AG15" s="499"/>
      <c r="AH15" s="465"/>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6"/>
      <c r="BE15" s="466"/>
      <c r="BF15" s="466"/>
      <c r="BG15" s="466"/>
      <c r="BH15" s="466"/>
      <c r="BI15" s="466"/>
      <c r="BJ15" s="466"/>
      <c r="BK15" s="466"/>
      <c r="BL15" s="467"/>
    </row>
    <row r="16" spans="1:64">
      <c r="A16" s="469" t="s">
        <v>18</v>
      </c>
      <c r="B16" s="470"/>
      <c r="C16" s="470"/>
      <c r="D16" s="470"/>
      <c r="E16" s="470"/>
      <c r="F16" s="470"/>
      <c r="G16" s="470"/>
      <c r="H16" s="470"/>
      <c r="I16" s="470"/>
      <c r="J16" s="470"/>
      <c r="K16" s="470"/>
      <c r="L16" s="470"/>
      <c r="M16" s="470"/>
      <c r="N16" s="470"/>
      <c r="O16" s="470"/>
      <c r="P16" s="471"/>
      <c r="Q16" s="469" t="s">
        <v>19</v>
      </c>
      <c r="R16" s="470"/>
      <c r="S16" s="470"/>
      <c r="T16" s="470"/>
      <c r="U16" s="470"/>
      <c r="V16" s="470"/>
      <c r="W16" s="470"/>
      <c r="X16" s="470"/>
      <c r="Y16" s="470"/>
      <c r="Z16" s="470"/>
      <c r="AA16" s="470"/>
      <c r="AB16" s="470"/>
      <c r="AC16" s="470"/>
      <c r="AD16" s="470"/>
      <c r="AE16" s="470"/>
      <c r="AF16" s="470"/>
      <c r="AG16" s="471"/>
      <c r="AH16" s="465"/>
      <c r="AI16" s="466"/>
      <c r="AJ16" s="466"/>
      <c r="AK16" s="466"/>
      <c r="AL16" s="466"/>
      <c r="AM16" s="466"/>
      <c r="AN16" s="466"/>
      <c r="AO16" s="466"/>
      <c r="AP16" s="466"/>
      <c r="AQ16" s="466"/>
      <c r="AR16" s="466"/>
      <c r="AS16" s="466"/>
      <c r="AT16" s="466"/>
      <c r="AU16" s="466"/>
      <c r="AV16" s="466"/>
      <c r="AW16" s="466"/>
      <c r="AX16" s="466"/>
      <c r="AY16" s="466"/>
      <c r="AZ16" s="466"/>
      <c r="BA16" s="466"/>
      <c r="BB16" s="466"/>
      <c r="BC16" s="466"/>
      <c r="BD16" s="466"/>
      <c r="BE16" s="466"/>
      <c r="BF16" s="466"/>
      <c r="BG16" s="466"/>
      <c r="BH16" s="466"/>
      <c r="BI16" s="466"/>
      <c r="BJ16" s="466"/>
      <c r="BK16" s="466"/>
      <c r="BL16" s="467"/>
    </row>
    <row r="17" spans="1:64">
      <c r="A17" s="472"/>
      <c r="B17" s="473"/>
      <c r="C17" s="473"/>
      <c r="D17" s="473"/>
      <c r="E17" s="473"/>
      <c r="F17" s="473"/>
      <c r="G17" s="473"/>
      <c r="H17" s="473"/>
      <c r="I17" s="473"/>
      <c r="J17" s="473"/>
      <c r="K17" s="473"/>
      <c r="L17" s="473"/>
      <c r="M17" s="473"/>
      <c r="N17" s="473"/>
      <c r="O17" s="473"/>
      <c r="P17" s="474"/>
      <c r="Q17" s="472"/>
      <c r="R17" s="473"/>
      <c r="S17" s="473"/>
      <c r="T17" s="473"/>
      <c r="U17" s="473"/>
      <c r="V17" s="473"/>
      <c r="W17" s="473"/>
      <c r="X17" s="473"/>
      <c r="Y17" s="473"/>
      <c r="Z17" s="473"/>
      <c r="AA17" s="473"/>
      <c r="AB17" s="473"/>
      <c r="AC17" s="473"/>
      <c r="AD17" s="473"/>
      <c r="AE17" s="473"/>
      <c r="AF17" s="473"/>
      <c r="AG17" s="474"/>
      <c r="AH17" s="465"/>
      <c r="AI17" s="466"/>
      <c r="AJ17" s="466"/>
      <c r="AK17" s="466"/>
      <c r="AL17" s="466"/>
      <c r="AM17" s="466"/>
      <c r="AN17" s="466"/>
      <c r="AO17" s="466"/>
      <c r="AP17" s="466"/>
      <c r="AQ17" s="466"/>
      <c r="AR17" s="466"/>
      <c r="AS17" s="466"/>
      <c r="AT17" s="466"/>
      <c r="AU17" s="466"/>
      <c r="AV17" s="466"/>
      <c r="AW17" s="466"/>
      <c r="AX17" s="466"/>
      <c r="AY17" s="466"/>
      <c r="AZ17" s="466"/>
      <c r="BA17" s="466"/>
      <c r="BB17" s="466"/>
      <c r="BC17" s="466"/>
      <c r="BD17" s="466"/>
      <c r="BE17" s="466"/>
      <c r="BF17" s="466"/>
      <c r="BG17" s="466"/>
      <c r="BH17" s="466"/>
      <c r="BI17" s="466"/>
      <c r="BJ17" s="466"/>
      <c r="BK17" s="466"/>
      <c r="BL17" s="467"/>
    </row>
    <row r="18" spans="1:64">
      <c r="A18" s="468" t="s">
        <v>20</v>
      </c>
      <c r="B18" s="466"/>
      <c r="C18" s="466"/>
      <c r="D18" s="466"/>
      <c r="E18" s="466"/>
      <c r="F18" s="466"/>
      <c r="G18" s="466"/>
      <c r="H18" s="466"/>
      <c r="I18" s="466"/>
      <c r="J18" s="466"/>
      <c r="K18" s="466"/>
      <c r="L18" s="466"/>
      <c r="M18" s="466"/>
      <c r="N18" s="466"/>
      <c r="O18" s="466"/>
      <c r="P18" s="466"/>
      <c r="Q18" s="466"/>
      <c r="R18" s="466"/>
      <c r="S18" s="466"/>
      <c r="T18" s="466"/>
      <c r="U18" s="466"/>
      <c r="V18" s="466"/>
      <c r="W18" s="466"/>
      <c r="X18" s="466"/>
      <c r="Y18" s="466"/>
      <c r="Z18" s="466"/>
      <c r="AA18" s="466"/>
      <c r="AB18" s="466"/>
      <c r="AC18" s="466"/>
      <c r="AD18" s="466"/>
      <c r="AE18" s="466"/>
      <c r="AF18" s="466"/>
      <c r="AG18" s="466"/>
      <c r="AH18" s="465"/>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6"/>
      <c r="BE18" s="466"/>
      <c r="BF18" s="466"/>
      <c r="BG18" s="466"/>
      <c r="BH18" s="466"/>
      <c r="BI18" s="466"/>
      <c r="BJ18" s="466"/>
      <c r="BK18" s="466"/>
      <c r="BL18" s="467"/>
    </row>
    <row r="19" spans="1:64">
      <c r="A19" s="509" t="s">
        <v>21</v>
      </c>
      <c r="B19" s="495"/>
      <c r="C19" s="495"/>
      <c r="D19" s="495"/>
      <c r="E19" s="495"/>
      <c r="F19" s="495"/>
      <c r="G19" s="495"/>
      <c r="H19" s="495"/>
      <c r="I19" s="495"/>
      <c r="J19" s="495"/>
      <c r="K19" s="495"/>
      <c r="L19" s="495"/>
      <c r="M19" s="495"/>
      <c r="N19" s="495"/>
      <c r="O19" s="495"/>
      <c r="P19" s="495"/>
      <c r="Q19" s="495"/>
      <c r="R19" s="495"/>
      <c r="S19" s="495"/>
      <c r="T19" s="495"/>
      <c r="U19" s="495"/>
      <c r="V19" s="495"/>
      <c r="W19" s="495"/>
      <c r="X19" s="495"/>
      <c r="Y19" s="495"/>
      <c r="Z19" s="495"/>
      <c r="AA19" s="495"/>
      <c r="AB19" s="495"/>
      <c r="AC19" s="495"/>
      <c r="AD19" s="495"/>
      <c r="AE19" s="495"/>
      <c r="AF19" s="495"/>
      <c r="AG19" s="495"/>
      <c r="AH19" s="550"/>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2"/>
    </row>
    <row r="20" spans="1:64" ht="15" customHeight="1">
      <c r="A20" s="533" t="s">
        <v>22</v>
      </c>
      <c r="B20" s="534"/>
      <c r="C20" s="535"/>
      <c r="D20" s="510" t="s">
        <v>23</v>
      </c>
      <c r="E20" s="511"/>
      <c r="F20" s="511"/>
      <c r="G20" s="511"/>
      <c r="H20" s="511"/>
      <c r="I20" s="511"/>
      <c r="J20" s="511"/>
      <c r="K20" s="511"/>
      <c r="L20" s="511"/>
      <c r="M20" s="511"/>
      <c r="N20" s="511"/>
      <c r="O20" s="511"/>
      <c r="P20" s="511"/>
      <c r="Q20" s="511"/>
      <c r="R20" s="511"/>
      <c r="S20" s="511"/>
      <c r="T20" s="511"/>
      <c r="U20" s="512"/>
      <c r="V20" s="539" t="s">
        <v>24</v>
      </c>
      <c r="W20" s="470"/>
      <c r="X20" s="471"/>
      <c r="Y20" s="539" t="s">
        <v>25</v>
      </c>
      <c r="Z20" s="470"/>
      <c r="AA20" s="471"/>
      <c r="AB20" s="469" t="s">
        <v>26</v>
      </c>
      <c r="AC20" s="470"/>
      <c r="AD20" s="471"/>
      <c r="AE20" s="469" t="s">
        <v>27</v>
      </c>
      <c r="AF20" s="470"/>
      <c r="AG20" s="471"/>
      <c r="AH20" s="513" t="s">
        <v>28</v>
      </c>
      <c r="AI20" s="513"/>
      <c r="AJ20" s="513"/>
      <c r="AK20" s="513"/>
      <c r="AL20" s="543" t="s">
        <v>29</v>
      </c>
      <c r="AM20" s="544"/>
      <c r="AN20" s="514" t="s">
        <v>30</v>
      </c>
      <c r="AO20" s="515"/>
      <c r="AP20" s="515"/>
      <c r="AQ20" s="516"/>
      <c r="AR20" s="514" t="s">
        <v>31</v>
      </c>
      <c r="AS20" s="515"/>
      <c r="AT20" s="515"/>
      <c r="AU20" s="516"/>
      <c r="AV20" s="517" t="s">
        <v>32</v>
      </c>
      <c r="AW20" s="518"/>
      <c r="AX20" s="518"/>
      <c r="AY20" s="518"/>
      <c r="AZ20" s="518"/>
      <c r="BA20" s="518"/>
      <c r="BB20" s="518"/>
      <c r="BC20" s="518"/>
      <c r="BD20" s="519"/>
      <c r="BE20" s="517" t="s">
        <v>33</v>
      </c>
      <c r="BF20" s="518"/>
      <c r="BG20" s="518"/>
      <c r="BH20" s="518"/>
      <c r="BI20" s="518"/>
      <c r="BJ20" s="518"/>
      <c r="BK20" s="518"/>
      <c r="BL20" s="519"/>
    </row>
    <row r="21" spans="1:64">
      <c r="A21" s="536"/>
      <c r="B21" s="537"/>
      <c r="C21" s="538"/>
      <c r="D21" s="520" t="s">
        <v>4</v>
      </c>
      <c r="E21" s="521"/>
      <c r="F21" s="521"/>
      <c r="G21" s="521"/>
      <c r="H21" s="521"/>
      <c r="I21" s="521"/>
      <c r="J21" s="521"/>
      <c r="K21" s="521"/>
      <c r="L21" s="521"/>
      <c r="M21" s="521"/>
      <c r="N21" s="521"/>
      <c r="O21" s="521"/>
      <c r="P21" s="521"/>
      <c r="Q21" s="521"/>
      <c r="R21" s="522"/>
      <c r="S21" s="522"/>
      <c r="T21" s="522"/>
      <c r="U21" s="523"/>
      <c r="V21" s="472"/>
      <c r="W21" s="473"/>
      <c r="X21" s="474"/>
      <c r="Y21" s="472"/>
      <c r="Z21" s="540"/>
      <c r="AA21" s="541"/>
      <c r="AB21" s="542"/>
      <c r="AC21" s="540"/>
      <c r="AD21" s="541"/>
      <c r="AE21" s="542"/>
      <c r="AF21" s="540"/>
      <c r="AG21" s="541"/>
      <c r="AH21" s="524" t="s">
        <v>34</v>
      </c>
      <c r="AI21" s="524"/>
      <c r="AJ21" s="524"/>
      <c r="AK21" s="524"/>
      <c r="AL21" s="545"/>
      <c r="AM21" s="546"/>
      <c r="AN21" s="525" t="s">
        <v>35</v>
      </c>
      <c r="AO21" s="526"/>
      <c r="AP21" s="525" t="s">
        <v>36</v>
      </c>
      <c r="AQ21" s="526"/>
      <c r="AR21" s="527" t="s">
        <v>35</v>
      </c>
      <c r="AS21" s="528"/>
      <c r="AT21" s="529" t="s">
        <v>36</v>
      </c>
      <c r="AU21" s="528"/>
      <c r="AV21" s="530" t="s">
        <v>37</v>
      </c>
      <c r="AW21" s="531"/>
      <c r="AX21" s="531"/>
      <c r="AY21" s="531"/>
      <c r="AZ21" s="531"/>
      <c r="BA21" s="531"/>
      <c r="BB21" s="531"/>
      <c r="BC21" s="531"/>
      <c r="BD21" s="532"/>
      <c r="BE21" s="530" t="s">
        <v>38</v>
      </c>
      <c r="BF21" s="531"/>
      <c r="BG21" s="531"/>
      <c r="BH21" s="531"/>
      <c r="BI21" s="531"/>
      <c r="BJ21" s="531"/>
      <c r="BK21" s="531"/>
      <c r="BL21" s="532"/>
    </row>
    <row r="22" spans="1:64">
      <c r="A22" s="553" t="s">
        <v>39</v>
      </c>
      <c r="B22" s="554"/>
      <c r="C22" s="554"/>
      <c r="D22" s="554"/>
      <c r="E22" s="554"/>
      <c r="F22" s="554"/>
      <c r="G22" s="554"/>
      <c r="H22" s="554"/>
      <c r="I22" s="554"/>
      <c r="J22" s="554"/>
      <c r="K22" s="554"/>
      <c r="L22" s="554"/>
      <c r="M22" s="554"/>
      <c r="N22" s="554"/>
      <c r="O22" s="554"/>
      <c r="P22" s="554"/>
      <c r="Q22" s="555"/>
      <c r="R22" s="556" t="s">
        <v>40</v>
      </c>
      <c r="S22" s="556"/>
      <c r="T22" s="556"/>
      <c r="U22" s="556"/>
      <c r="V22" s="221"/>
      <c r="W22" s="221"/>
      <c r="X22" s="221"/>
      <c r="Y22" s="222"/>
      <c r="Z22" s="221"/>
      <c r="AA22" s="221"/>
      <c r="AB22" s="221"/>
      <c r="AC22" s="221"/>
      <c r="AD22" s="556" t="s">
        <v>40</v>
      </c>
      <c r="AE22" s="556"/>
      <c r="AF22" s="556"/>
      <c r="AG22" s="557"/>
      <c r="AH22" s="556" t="s">
        <v>41</v>
      </c>
      <c r="AI22" s="556"/>
      <c r="AJ22" s="556"/>
      <c r="AK22" s="556"/>
      <c r="AL22" s="556"/>
      <c r="AM22" s="556"/>
      <c r="AN22" s="556"/>
      <c r="AO22" s="556"/>
      <c r="AP22" s="556"/>
      <c r="AQ22" s="557"/>
      <c r="AR22" s="650" t="s">
        <v>42</v>
      </c>
      <c r="AS22" s="651"/>
      <c r="AT22" s="651"/>
      <c r="AU22" s="651"/>
      <c r="AV22" s="651"/>
      <c r="AW22" s="651"/>
      <c r="AX22" s="651"/>
      <c r="AY22" s="651"/>
      <c r="AZ22" s="651"/>
      <c r="BA22" s="651"/>
      <c r="BB22" s="651"/>
      <c r="BC22" s="651"/>
      <c r="BD22" s="651"/>
      <c r="BE22" s="651"/>
      <c r="BF22" s="651"/>
      <c r="BG22" s="651"/>
      <c r="BH22" s="651"/>
      <c r="BI22" s="651"/>
      <c r="BJ22" s="651"/>
      <c r="BK22" s="651"/>
      <c r="BL22" s="652"/>
    </row>
    <row r="23" spans="1:64">
      <c r="A23" s="558" t="s">
        <v>43</v>
      </c>
      <c r="B23" s="559"/>
      <c r="C23" s="559"/>
      <c r="D23" s="559"/>
      <c r="E23" s="559"/>
      <c r="F23" s="559"/>
      <c r="G23" s="559"/>
      <c r="H23" s="559"/>
      <c r="I23" s="559"/>
      <c r="J23" s="559"/>
      <c r="K23" s="559"/>
      <c r="L23" s="559"/>
      <c r="M23" s="559"/>
      <c r="N23" s="559"/>
      <c r="O23" s="559"/>
      <c r="P23" s="559"/>
      <c r="Q23" s="560"/>
      <c r="R23" s="223" t="s">
        <v>44</v>
      </c>
      <c r="S23" s="224"/>
      <c r="T23" s="224"/>
      <c r="U23" s="224"/>
      <c r="V23" s="224"/>
      <c r="W23" s="224"/>
      <c r="X23" s="224"/>
      <c r="Y23" s="225"/>
      <c r="Z23" s="561">
        <v>46171</v>
      </c>
      <c r="AA23" s="562"/>
      <c r="AB23" s="562"/>
      <c r="AC23" s="562"/>
      <c r="AD23" s="562"/>
      <c r="AE23" s="562"/>
      <c r="AF23" s="562"/>
      <c r="AG23" s="563"/>
      <c r="AH23" s="524" t="s">
        <v>45</v>
      </c>
      <c r="AI23" s="524"/>
      <c r="AJ23" s="524"/>
      <c r="AK23" s="524"/>
      <c r="AL23" s="524"/>
      <c r="AM23" s="524"/>
      <c r="AN23" s="524"/>
      <c r="AO23" s="524"/>
      <c r="AP23" s="524"/>
      <c r="AQ23" s="564"/>
      <c r="AR23" s="651"/>
      <c r="AS23" s="651"/>
      <c r="AT23" s="651"/>
      <c r="AU23" s="651"/>
      <c r="AV23" s="651"/>
      <c r="AW23" s="651"/>
      <c r="AX23" s="651"/>
      <c r="AY23" s="651"/>
      <c r="AZ23" s="651"/>
      <c r="BA23" s="651"/>
      <c r="BB23" s="651"/>
      <c r="BC23" s="651"/>
      <c r="BD23" s="651"/>
      <c r="BE23" s="651"/>
      <c r="BF23" s="651"/>
      <c r="BG23" s="651"/>
      <c r="BH23" s="651"/>
      <c r="BI23" s="651"/>
      <c r="BJ23" s="651"/>
      <c r="BK23" s="651"/>
      <c r="BL23" s="652"/>
    </row>
    <row r="24" spans="1:64">
      <c r="A24" s="465" t="s">
        <v>46</v>
      </c>
      <c r="B24" s="466"/>
      <c r="C24" s="466"/>
      <c r="D24" s="466"/>
      <c r="E24" s="466"/>
      <c r="F24" s="466"/>
      <c r="G24" s="466"/>
      <c r="H24" s="466"/>
      <c r="I24" s="466"/>
      <c r="J24" s="466"/>
      <c r="K24" s="466"/>
      <c r="L24" s="466"/>
      <c r="M24" s="466"/>
      <c r="N24" s="466"/>
      <c r="O24" s="466"/>
      <c r="P24" s="466"/>
      <c r="Q24" s="466"/>
      <c r="R24" s="548"/>
      <c r="S24" s="548"/>
      <c r="T24" s="548"/>
      <c r="U24" s="548"/>
      <c r="V24" s="548"/>
      <c r="W24" s="548"/>
      <c r="X24" s="548"/>
      <c r="Y24" s="548"/>
      <c r="Z24" s="548"/>
      <c r="AA24" s="548"/>
      <c r="AB24" s="548"/>
      <c r="AC24" s="548"/>
      <c r="AD24" s="548"/>
      <c r="AE24" s="548"/>
      <c r="AF24" s="548"/>
      <c r="AG24" s="548"/>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8"/>
      <c r="BD24" s="548"/>
      <c r="BE24" s="548"/>
      <c r="BF24" s="548"/>
      <c r="BG24" s="548"/>
      <c r="BH24" s="548"/>
      <c r="BI24" s="548"/>
      <c r="BJ24" s="548"/>
      <c r="BK24" s="548"/>
      <c r="BL24" s="549"/>
    </row>
    <row r="25" spans="1:64" ht="15" customHeight="1">
      <c r="A25" s="568"/>
      <c r="B25" s="569"/>
      <c r="C25" s="569"/>
      <c r="D25" s="569"/>
      <c r="E25" s="569"/>
      <c r="F25" s="569"/>
      <c r="G25" s="569"/>
      <c r="H25" s="569"/>
      <c r="I25" s="569"/>
      <c r="J25" s="569"/>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70"/>
    </row>
    <row r="26" spans="1:64">
      <c r="A26" s="571"/>
      <c r="B26" s="572"/>
      <c r="C26" s="572"/>
      <c r="D26" s="572"/>
      <c r="E26" s="572"/>
      <c r="F26" s="572"/>
      <c r="G26" s="572"/>
      <c r="H26" s="572"/>
      <c r="I26" s="572"/>
      <c r="J26" s="572"/>
      <c r="K26" s="572"/>
      <c r="L26" s="572"/>
      <c r="M26" s="572"/>
      <c r="N26" s="572"/>
      <c r="O26" s="572"/>
      <c r="P26" s="572"/>
      <c r="Q26" s="572"/>
      <c r="R26" s="572"/>
      <c r="S26" s="572"/>
      <c r="T26" s="572"/>
      <c r="U26" s="572"/>
      <c r="V26" s="572"/>
      <c r="W26" s="572"/>
      <c r="X26" s="572"/>
      <c r="Y26" s="572"/>
      <c r="Z26" s="572"/>
      <c r="AA26" s="572"/>
      <c r="AB26" s="572"/>
      <c r="AC26" s="572"/>
      <c r="AD26" s="572"/>
      <c r="AE26" s="572"/>
      <c r="AF26" s="572"/>
      <c r="AG26" s="572"/>
      <c r="AH26" s="572"/>
      <c r="AI26" s="572"/>
      <c r="AJ26" s="572"/>
      <c r="AK26" s="572"/>
      <c r="AL26" s="572"/>
      <c r="AM26" s="572"/>
      <c r="AN26" s="572"/>
      <c r="AO26" s="572"/>
      <c r="AP26" s="572"/>
      <c r="AQ26" s="572"/>
      <c r="AR26" s="572"/>
      <c r="AS26" s="572"/>
      <c r="AT26" s="572"/>
      <c r="AU26" s="572"/>
      <c r="AV26" s="572"/>
      <c r="AW26" s="572"/>
      <c r="AX26" s="572"/>
      <c r="AY26" s="572"/>
      <c r="AZ26" s="572"/>
      <c r="BA26" s="572"/>
      <c r="BB26" s="572"/>
      <c r="BC26" s="572"/>
      <c r="BD26" s="572"/>
      <c r="BE26" s="572"/>
      <c r="BF26" s="572"/>
      <c r="BG26" s="572"/>
      <c r="BH26" s="572"/>
      <c r="BI26" s="572"/>
      <c r="BJ26" s="572"/>
      <c r="BK26" s="572"/>
      <c r="BL26" s="573"/>
    </row>
    <row r="27" spans="1:64" ht="15.75">
      <c r="A27" s="595" t="s">
        <v>47</v>
      </c>
      <c r="B27" s="596"/>
      <c r="C27" s="597"/>
      <c r="D27" s="595" t="s">
        <v>48</v>
      </c>
      <c r="E27" s="596"/>
      <c r="F27" s="596"/>
      <c r="G27" s="596"/>
      <c r="H27" s="596"/>
      <c r="I27" s="597"/>
      <c r="J27" s="589" t="s">
        <v>49</v>
      </c>
      <c r="K27" s="592"/>
      <c r="L27" s="565" t="s">
        <v>50</v>
      </c>
      <c r="M27" s="566"/>
      <c r="N27" s="566"/>
      <c r="O27" s="566"/>
      <c r="P27" s="566"/>
      <c r="Q27" s="567"/>
      <c r="R27" s="592"/>
      <c r="S27" s="643" t="s">
        <v>51</v>
      </c>
      <c r="T27" s="638"/>
      <c r="U27" s="638"/>
      <c r="V27" s="638"/>
      <c r="W27" s="638"/>
      <c r="X27" s="638"/>
      <c r="Y27" s="639"/>
      <c r="Z27" s="594"/>
      <c r="AA27" s="226" t="s">
        <v>52</v>
      </c>
      <c r="AB27" s="227"/>
      <c r="AC27" s="227"/>
      <c r="AD27" s="227"/>
      <c r="AE27" s="227"/>
      <c r="AF27" s="227"/>
      <c r="AG27" s="228"/>
      <c r="AH27" s="594"/>
      <c r="AI27" s="643" t="s">
        <v>53</v>
      </c>
      <c r="AJ27" s="638"/>
      <c r="AK27" s="638"/>
      <c r="AL27" s="638"/>
      <c r="AM27" s="638"/>
      <c r="AN27" s="638"/>
      <c r="AO27" s="638"/>
      <c r="AP27" s="638"/>
      <c r="AQ27" s="639"/>
      <c r="AR27" s="594"/>
      <c r="AS27" s="595" t="s">
        <v>54</v>
      </c>
      <c r="AT27" s="638"/>
      <c r="AU27" s="638"/>
      <c r="AV27" s="638"/>
      <c r="AW27" s="638"/>
      <c r="AX27" s="638"/>
      <c r="AY27" s="638"/>
      <c r="AZ27" s="638"/>
      <c r="BA27" s="638"/>
      <c r="BB27" s="638"/>
      <c r="BC27" s="638"/>
      <c r="BD27" s="638"/>
      <c r="BE27" s="638"/>
      <c r="BF27" s="638"/>
      <c r="BG27" s="638"/>
      <c r="BH27" s="638"/>
      <c r="BI27" s="638"/>
      <c r="BJ27" s="638"/>
      <c r="BK27" s="638"/>
      <c r="BL27" s="639"/>
    </row>
    <row r="28" spans="1:64" ht="21" customHeight="1">
      <c r="A28" s="598"/>
      <c r="B28" s="599"/>
      <c r="C28" s="600"/>
      <c r="D28" s="598"/>
      <c r="E28" s="599"/>
      <c r="F28" s="599"/>
      <c r="G28" s="599"/>
      <c r="H28" s="599"/>
      <c r="I28" s="600"/>
      <c r="J28" s="590"/>
      <c r="K28" s="593"/>
      <c r="L28" s="229"/>
      <c r="M28" s="693" t="s">
        <v>55</v>
      </c>
      <c r="N28" s="694"/>
      <c r="O28" s="694"/>
      <c r="P28" s="694"/>
      <c r="Q28" s="694"/>
      <c r="R28" s="593"/>
      <c r="S28" s="640"/>
      <c r="T28" s="641"/>
      <c r="U28" s="641"/>
      <c r="V28" s="641"/>
      <c r="W28" s="641"/>
      <c r="X28" s="641"/>
      <c r="Y28" s="642"/>
      <c r="Z28" s="594"/>
      <c r="AA28" s="230"/>
      <c r="AB28" s="231"/>
      <c r="AC28" s="231"/>
      <c r="AD28" s="231"/>
      <c r="AE28" s="232" t="s">
        <v>56</v>
      </c>
      <c r="AF28" s="231"/>
      <c r="AG28" s="233"/>
      <c r="AH28" s="594"/>
      <c r="AI28" s="640"/>
      <c r="AJ28" s="641"/>
      <c r="AK28" s="641"/>
      <c r="AL28" s="641"/>
      <c r="AM28" s="641"/>
      <c r="AN28" s="641"/>
      <c r="AO28" s="641"/>
      <c r="AP28" s="641"/>
      <c r="AQ28" s="642"/>
      <c r="AR28" s="594"/>
      <c r="AS28" s="640"/>
      <c r="AT28" s="641"/>
      <c r="AU28" s="641"/>
      <c r="AV28" s="641"/>
      <c r="AW28" s="641"/>
      <c r="AX28" s="641"/>
      <c r="AY28" s="641"/>
      <c r="AZ28" s="641"/>
      <c r="BA28" s="641"/>
      <c r="BB28" s="641"/>
      <c r="BC28" s="641"/>
      <c r="BD28" s="641"/>
      <c r="BE28" s="641"/>
      <c r="BF28" s="641"/>
      <c r="BG28" s="641"/>
      <c r="BH28" s="641"/>
      <c r="BI28" s="641"/>
      <c r="BJ28" s="641"/>
      <c r="BK28" s="641"/>
      <c r="BL28" s="642"/>
    </row>
    <row r="29" spans="1:64">
      <c r="A29" s="653">
        <v>23</v>
      </c>
      <c r="B29" s="654"/>
      <c r="C29" s="655"/>
      <c r="D29" s="662">
        <v>398</v>
      </c>
      <c r="E29" s="663"/>
      <c r="F29" s="663"/>
      <c r="G29" s="663"/>
      <c r="H29" s="663"/>
      <c r="I29" s="664"/>
      <c r="J29" s="591" t="s">
        <v>57</v>
      </c>
      <c r="K29" s="593"/>
      <c r="L29" s="521" t="s">
        <v>58</v>
      </c>
      <c r="M29" s="585"/>
      <c r="N29" s="586"/>
      <c r="O29" s="586"/>
      <c r="P29" s="586"/>
      <c r="Q29" s="586"/>
      <c r="R29" s="593"/>
      <c r="S29" s="662">
        <v>398</v>
      </c>
      <c r="T29" s="663"/>
      <c r="U29" s="663"/>
      <c r="V29" s="663"/>
      <c r="W29" s="663"/>
      <c r="X29" s="663"/>
      <c r="Y29" s="664"/>
      <c r="Z29" s="594"/>
      <c r="AA29" s="662">
        <v>16800</v>
      </c>
      <c r="AB29" s="663"/>
      <c r="AC29" s="663"/>
      <c r="AD29" s="663"/>
      <c r="AE29" s="663"/>
      <c r="AF29" s="663"/>
      <c r="AG29" s="664"/>
      <c r="AH29" s="594"/>
      <c r="AI29" s="678">
        <f>AA29*S29</f>
        <v>6686400</v>
      </c>
      <c r="AJ29" s="679"/>
      <c r="AK29" s="679"/>
      <c r="AL29" s="679"/>
      <c r="AM29" s="679"/>
      <c r="AN29" s="679"/>
      <c r="AO29" s="679"/>
      <c r="AP29" s="679"/>
      <c r="AQ29" s="680"/>
      <c r="AR29" s="594"/>
      <c r="AS29" s="672"/>
      <c r="AT29" s="673"/>
      <c r="AU29" s="673"/>
      <c r="AV29" s="673"/>
      <c r="AW29" s="673"/>
      <c r="AX29" s="673"/>
      <c r="AY29" s="673"/>
      <c r="AZ29" s="673"/>
      <c r="BA29" s="673"/>
      <c r="BB29" s="673"/>
      <c r="BC29" s="673"/>
      <c r="BD29" s="673"/>
      <c r="BE29" s="673"/>
      <c r="BF29" s="673"/>
      <c r="BG29" s="673"/>
      <c r="BH29" s="673"/>
      <c r="BI29" s="673"/>
      <c r="BJ29" s="673"/>
      <c r="BK29" s="673"/>
      <c r="BL29" s="674"/>
    </row>
    <row r="30" spans="1:64">
      <c r="A30" s="656"/>
      <c r="B30" s="657"/>
      <c r="C30" s="658"/>
      <c r="D30" s="665"/>
      <c r="E30" s="666"/>
      <c r="F30" s="666"/>
      <c r="G30" s="666"/>
      <c r="H30" s="666"/>
      <c r="I30" s="667"/>
      <c r="J30" s="520"/>
      <c r="K30" s="593"/>
      <c r="L30" s="521"/>
      <c r="M30" s="587"/>
      <c r="N30" s="325"/>
      <c r="O30" s="325"/>
      <c r="P30" s="325"/>
      <c r="Q30" s="325"/>
      <c r="R30" s="593"/>
      <c r="S30" s="665"/>
      <c r="T30" s="666"/>
      <c r="U30" s="666"/>
      <c r="V30" s="666"/>
      <c r="W30" s="666"/>
      <c r="X30" s="666"/>
      <c r="Y30" s="667"/>
      <c r="Z30" s="594"/>
      <c r="AA30" s="665"/>
      <c r="AB30" s="666"/>
      <c r="AC30" s="666"/>
      <c r="AD30" s="666"/>
      <c r="AE30" s="666"/>
      <c r="AF30" s="666"/>
      <c r="AG30" s="667"/>
      <c r="AH30" s="594"/>
      <c r="AI30" s="681"/>
      <c r="AJ30" s="682"/>
      <c r="AK30" s="682"/>
      <c r="AL30" s="682"/>
      <c r="AM30" s="682"/>
      <c r="AN30" s="682"/>
      <c r="AO30" s="682"/>
      <c r="AP30" s="682"/>
      <c r="AQ30" s="683"/>
      <c r="AR30" s="594"/>
      <c r="AS30" s="675"/>
      <c r="AT30" s="676"/>
      <c r="AU30" s="676"/>
      <c r="AV30" s="676"/>
      <c r="AW30" s="676"/>
      <c r="AX30" s="676"/>
      <c r="AY30" s="676"/>
      <c r="AZ30" s="676"/>
      <c r="BA30" s="676"/>
      <c r="BB30" s="676"/>
      <c r="BC30" s="676"/>
      <c r="BD30" s="676"/>
      <c r="BE30" s="676"/>
      <c r="BF30" s="676"/>
      <c r="BG30" s="676"/>
      <c r="BH30" s="676"/>
      <c r="BI30" s="676"/>
      <c r="BJ30" s="676"/>
      <c r="BK30" s="676"/>
      <c r="BL30" s="677"/>
    </row>
    <row r="31" spans="1:64">
      <c r="A31" s="656"/>
      <c r="B31" s="657"/>
      <c r="C31" s="658"/>
      <c r="D31" s="665"/>
      <c r="E31" s="666"/>
      <c r="F31" s="666"/>
      <c r="G31" s="666"/>
      <c r="H31" s="666"/>
      <c r="I31" s="667"/>
      <c r="J31" s="520"/>
      <c r="K31" s="593"/>
      <c r="L31" s="521"/>
      <c r="M31" s="587"/>
      <c r="N31" s="325"/>
      <c r="O31" s="325"/>
      <c r="P31" s="325"/>
      <c r="Q31" s="325"/>
      <c r="R31" s="593"/>
      <c r="S31" s="665"/>
      <c r="T31" s="666"/>
      <c r="U31" s="666"/>
      <c r="V31" s="666"/>
      <c r="W31" s="666"/>
      <c r="X31" s="666"/>
      <c r="Y31" s="667"/>
      <c r="Z31" s="594"/>
      <c r="AA31" s="665"/>
      <c r="AB31" s="666"/>
      <c r="AC31" s="666"/>
      <c r="AD31" s="666"/>
      <c r="AE31" s="666"/>
      <c r="AF31" s="666"/>
      <c r="AG31" s="667"/>
      <c r="AH31" s="594"/>
      <c r="AI31" s="681"/>
      <c r="AJ31" s="682"/>
      <c r="AK31" s="682"/>
      <c r="AL31" s="682"/>
      <c r="AM31" s="682"/>
      <c r="AN31" s="682"/>
      <c r="AO31" s="682"/>
      <c r="AP31" s="682"/>
      <c r="AQ31" s="683"/>
      <c r="AR31" s="594"/>
      <c r="AS31" s="675"/>
      <c r="AT31" s="676"/>
      <c r="AU31" s="676"/>
      <c r="AV31" s="676"/>
      <c r="AW31" s="676"/>
      <c r="AX31" s="676"/>
      <c r="AY31" s="676"/>
      <c r="AZ31" s="676"/>
      <c r="BA31" s="676"/>
      <c r="BB31" s="676"/>
      <c r="BC31" s="676"/>
      <c r="BD31" s="676"/>
      <c r="BE31" s="676"/>
      <c r="BF31" s="676"/>
      <c r="BG31" s="676"/>
      <c r="BH31" s="676"/>
      <c r="BI31" s="676"/>
      <c r="BJ31" s="676"/>
      <c r="BK31" s="676"/>
      <c r="BL31" s="677"/>
    </row>
    <row r="32" spans="1:64">
      <c r="A32" s="656"/>
      <c r="B32" s="657"/>
      <c r="C32" s="658"/>
      <c r="D32" s="665"/>
      <c r="E32" s="666"/>
      <c r="F32" s="666"/>
      <c r="G32" s="666"/>
      <c r="H32" s="666"/>
      <c r="I32" s="667"/>
      <c r="J32" s="520"/>
      <c r="K32" s="593"/>
      <c r="L32" s="521"/>
      <c r="M32" s="587"/>
      <c r="N32" s="325"/>
      <c r="O32" s="325"/>
      <c r="P32" s="325"/>
      <c r="Q32" s="325"/>
      <c r="R32" s="593"/>
      <c r="S32" s="665"/>
      <c r="T32" s="666"/>
      <c r="U32" s="666"/>
      <c r="V32" s="666"/>
      <c r="W32" s="666"/>
      <c r="X32" s="666"/>
      <c r="Y32" s="667"/>
      <c r="Z32" s="594"/>
      <c r="AA32" s="665"/>
      <c r="AB32" s="666"/>
      <c r="AC32" s="666"/>
      <c r="AD32" s="666"/>
      <c r="AE32" s="666"/>
      <c r="AF32" s="666"/>
      <c r="AG32" s="667"/>
      <c r="AH32" s="594"/>
      <c r="AI32" s="681"/>
      <c r="AJ32" s="682"/>
      <c r="AK32" s="682"/>
      <c r="AL32" s="682"/>
      <c r="AM32" s="682"/>
      <c r="AN32" s="682"/>
      <c r="AO32" s="682"/>
      <c r="AP32" s="682"/>
      <c r="AQ32" s="683"/>
      <c r="AR32" s="594"/>
      <c r="AS32" s="675"/>
      <c r="AT32" s="676"/>
      <c r="AU32" s="676"/>
      <c r="AV32" s="676"/>
      <c r="AW32" s="676"/>
      <c r="AX32" s="676"/>
      <c r="AY32" s="676"/>
      <c r="AZ32" s="676"/>
      <c r="BA32" s="676"/>
      <c r="BB32" s="676"/>
      <c r="BC32" s="676"/>
      <c r="BD32" s="676"/>
      <c r="BE32" s="676"/>
      <c r="BF32" s="676"/>
      <c r="BG32" s="676"/>
      <c r="BH32" s="676"/>
      <c r="BI32" s="676"/>
      <c r="BJ32" s="676"/>
      <c r="BK32" s="676"/>
      <c r="BL32" s="677"/>
    </row>
    <row r="33" spans="1:64">
      <c r="A33" s="656"/>
      <c r="B33" s="657"/>
      <c r="C33" s="658"/>
      <c r="D33" s="665"/>
      <c r="E33" s="666"/>
      <c r="F33" s="666"/>
      <c r="G33" s="666"/>
      <c r="H33" s="666"/>
      <c r="I33" s="667"/>
      <c r="J33" s="520"/>
      <c r="K33" s="593"/>
      <c r="L33" s="521"/>
      <c r="M33" s="587"/>
      <c r="N33" s="325"/>
      <c r="O33" s="325"/>
      <c r="P33" s="325"/>
      <c r="Q33" s="325"/>
      <c r="R33" s="593"/>
      <c r="S33" s="665"/>
      <c r="T33" s="666"/>
      <c r="U33" s="666"/>
      <c r="V33" s="666"/>
      <c r="W33" s="666"/>
      <c r="X33" s="666"/>
      <c r="Y33" s="667"/>
      <c r="Z33" s="594"/>
      <c r="AA33" s="665"/>
      <c r="AB33" s="666"/>
      <c r="AC33" s="666"/>
      <c r="AD33" s="666"/>
      <c r="AE33" s="666"/>
      <c r="AF33" s="666"/>
      <c r="AG33" s="667"/>
      <c r="AH33" s="594"/>
      <c r="AI33" s="681"/>
      <c r="AJ33" s="682"/>
      <c r="AK33" s="682"/>
      <c r="AL33" s="682"/>
      <c r="AM33" s="682"/>
      <c r="AN33" s="682"/>
      <c r="AO33" s="682"/>
      <c r="AP33" s="682"/>
      <c r="AQ33" s="683"/>
      <c r="AR33" s="594"/>
      <c r="AS33" s="675"/>
      <c r="AT33" s="676"/>
      <c r="AU33" s="676"/>
      <c r="AV33" s="676"/>
      <c r="AW33" s="676"/>
      <c r="AX33" s="676"/>
      <c r="AY33" s="676"/>
      <c r="AZ33" s="676"/>
      <c r="BA33" s="676"/>
      <c r="BB33" s="676"/>
      <c r="BC33" s="676"/>
      <c r="BD33" s="676"/>
      <c r="BE33" s="676"/>
      <c r="BF33" s="676"/>
      <c r="BG33" s="676"/>
      <c r="BH33" s="676"/>
      <c r="BI33" s="676"/>
      <c r="BJ33" s="676"/>
      <c r="BK33" s="676"/>
      <c r="BL33" s="677"/>
    </row>
    <row r="34" spans="1:64">
      <c r="A34" s="656"/>
      <c r="B34" s="657"/>
      <c r="C34" s="658"/>
      <c r="D34" s="665"/>
      <c r="E34" s="666"/>
      <c r="F34" s="666"/>
      <c r="G34" s="666"/>
      <c r="H34" s="666"/>
      <c r="I34" s="667"/>
      <c r="J34" s="520"/>
      <c r="K34" s="593"/>
      <c r="L34" s="521"/>
      <c r="M34" s="587"/>
      <c r="N34" s="325"/>
      <c r="O34" s="325"/>
      <c r="P34" s="325"/>
      <c r="Q34" s="325"/>
      <c r="R34" s="593"/>
      <c r="S34" s="665"/>
      <c r="T34" s="666"/>
      <c r="U34" s="666"/>
      <c r="V34" s="666"/>
      <c r="W34" s="666"/>
      <c r="X34" s="666"/>
      <c r="Y34" s="667"/>
      <c r="Z34" s="594"/>
      <c r="AA34" s="665"/>
      <c r="AB34" s="666"/>
      <c r="AC34" s="666"/>
      <c r="AD34" s="666"/>
      <c r="AE34" s="666"/>
      <c r="AF34" s="666"/>
      <c r="AG34" s="667"/>
      <c r="AH34" s="594"/>
      <c r="AI34" s="681"/>
      <c r="AJ34" s="682"/>
      <c r="AK34" s="682"/>
      <c r="AL34" s="682"/>
      <c r="AM34" s="682"/>
      <c r="AN34" s="682"/>
      <c r="AO34" s="682"/>
      <c r="AP34" s="682"/>
      <c r="AQ34" s="683"/>
      <c r="AR34" s="594"/>
      <c r="AS34" s="675"/>
      <c r="AT34" s="676"/>
      <c r="AU34" s="676"/>
      <c r="AV34" s="676"/>
      <c r="AW34" s="676"/>
      <c r="AX34" s="676"/>
      <c r="AY34" s="676"/>
      <c r="AZ34" s="676"/>
      <c r="BA34" s="676"/>
      <c r="BB34" s="676"/>
      <c r="BC34" s="676"/>
      <c r="BD34" s="676"/>
      <c r="BE34" s="676"/>
      <c r="BF34" s="676"/>
      <c r="BG34" s="676"/>
      <c r="BH34" s="676"/>
      <c r="BI34" s="676"/>
      <c r="BJ34" s="676"/>
      <c r="BK34" s="676"/>
      <c r="BL34" s="677"/>
    </row>
    <row r="35" spans="1:64">
      <c r="A35" s="656"/>
      <c r="B35" s="657"/>
      <c r="C35" s="658"/>
      <c r="D35" s="665"/>
      <c r="E35" s="666"/>
      <c r="F35" s="666"/>
      <c r="G35" s="666"/>
      <c r="H35" s="666"/>
      <c r="I35" s="667"/>
      <c r="J35" s="520"/>
      <c r="K35" s="593"/>
      <c r="L35" s="521"/>
      <c r="M35" s="587"/>
      <c r="N35" s="325"/>
      <c r="O35" s="325"/>
      <c r="P35" s="325"/>
      <c r="Q35" s="325"/>
      <c r="R35" s="593"/>
      <c r="S35" s="665"/>
      <c r="T35" s="666"/>
      <c r="U35" s="666"/>
      <c r="V35" s="666"/>
      <c r="W35" s="666"/>
      <c r="X35" s="666"/>
      <c r="Y35" s="667"/>
      <c r="Z35" s="594"/>
      <c r="AA35" s="665"/>
      <c r="AB35" s="666"/>
      <c r="AC35" s="666"/>
      <c r="AD35" s="666"/>
      <c r="AE35" s="666"/>
      <c r="AF35" s="666"/>
      <c r="AG35" s="667"/>
      <c r="AH35" s="594"/>
      <c r="AI35" s="681"/>
      <c r="AJ35" s="682"/>
      <c r="AK35" s="682"/>
      <c r="AL35" s="682"/>
      <c r="AM35" s="682"/>
      <c r="AN35" s="682"/>
      <c r="AO35" s="682"/>
      <c r="AP35" s="682"/>
      <c r="AQ35" s="683"/>
      <c r="AR35" s="594"/>
      <c r="AS35" s="675"/>
      <c r="AT35" s="676"/>
      <c r="AU35" s="676"/>
      <c r="AV35" s="676"/>
      <c r="AW35" s="676"/>
      <c r="AX35" s="676"/>
      <c r="AY35" s="676"/>
      <c r="AZ35" s="676"/>
      <c r="BA35" s="676"/>
      <c r="BB35" s="676"/>
      <c r="BC35" s="676"/>
      <c r="BD35" s="676"/>
      <c r="BE35" s="676"/>
      <c r="BF35" s="676"/>
      <c r="BG35" s="676"/>
      <c r="BH35" s="676"/>
      <c r="BI35" s="676"/>
      <c r="BJ35" s="676"/>
      <c r="BK35" s="676"/>
      <c r="BL35" s="677"/>
    </row>
    <row r="36" spans="1:64">
      <c r="A36" s="659"/>
      <c r="B36" s="660"/>
      <c r="C36" s="661"/>
      <c r="D36" s="668"/>
      <c r="E36" s="669"/>
      <c r="F36" s="669"/>
      <c r="G36" s="669"/>
      <c r="H36" s="669"/>
      <c r="I36" s="670"/>
      <c r="J36" s="520"/>
      <c r="K36" s="593"/>
      <c r="L36" s="521"/>
      <c r="M36" s="587"/>
      <c r="N36" s="325"/>
      <c r="O36" s="325"/>
      <c r="P36" s="325"/>
      <c r="Q36" s="325"/>
      <c r="R36" s="593"/>
      <c r="S36" s="665"/>
      <c r="T36" s="666"/>
      <c r="U36" s="666"/>
      <c r="V36" s="666"/>
      <c r="W36" s="666"/>
      <c r="X36" s="666"/>
      <c r="Y36" s="667"/>
      <c r="Z36" s="594"/>
      <c r="AA36" s="665"/>
      <c r="AB36" s="666"/>
      <c r="AC36" s="666"/>
      <c r="AD36" s="666"/>
      <c r="AE36" s="666"/>
      <c r="AF36" s="666"/>
      <c r="AG36" s="667"/>
      <c r="AH36" s="594"/>
      <c r="AI36" s="684"/>
      <c r="AJ36" s="685"/>
      <c r="AK36" s="685"/>
      <c r="AL36" s="685"/>
      <c r="AM36" s="685"/>
      <c r="AN36" s="685"/>
      <c r="AO36" s="685"/>
      <c r="AP36" s="685"/>
      <c r="AQ36" s="686"/>
      <c r="AR36" s="594"/>
      <c r="AS36" s="675"/>
      <c r="AT36" s="676"/>
      <c r="AU36" s="676"/>
      <c r="AV36" s="676"/>
      <c r="AW36" s="676"/>
      <c r="AX36" s="676"/>
      <c r="AY36" s="676"/>
      <c r="AZ36" s="676"/>
      <c r="BA36" s="676"/>
      <c r="BB36" s="676"/>
      <c r="BC36" s="676"/>
      <c r="BD36" s="676"/>
      <c r="BE36" s="676"/>
      <c r="BF36" s="676"/>
      <c r="BG36" s="676"/>
      <c r="BH36" s="676"/>
      <c r="BI36" s="676"/>
      <c r="BJ36" s="676"/>
      <c r="BK36" s="676"/>
      <c r="BL36" s="677"/>
    </row>
    <row r="37" spans="1:64">
      <c r="A37" s="695"/>
      <c r="B37" s="696"/>
      <c r="C37" s="697"/>
      <c r="D37" s="695"/>
      <c r="E37" s="696"/>
      <c r="F37" s="696"/>
      <c r="G37" s="696"/>
      <c r="H37" s="696"/>
      <c r="I37" s="697"/>
      <c r="J37" s="520"/>
      <c r="K37" s="593"/>
      <c r="L37" s="521"/>
      <c r="M37" s="587"/>
      <c r="N37" s="325"/>
      <c r="O37" s="325"/>
      <c r="P37" s="325"/>
      <c r="Q37" s="325"/>
      <c r="R37" s="593"/>
      <c r="S37" s="665"/>
      <c r="T37" s="666"/>
      <c r="U37" s="666"/>
      <c r="V37" s="666"/>
      <c r="W37" s="666"/>
      <c r="X37" s="666"/>
      <c r="Y37" s="667"/>
      <c r="Z37" s="594"/>
      <c r="AA37" s="665"/>
      <c r="AB37" s="666"/>
      <c r="AC37" s="666"/>
      <c r="AD37" s="666"/>
      <c r="AE37" s="666"/>
      <c r="AF37" s="666"/>
      <c r="AG37" s="667"/>
      <c r="AH37" s="594"/>
      <c r="AI37" s="695"/>
      <c r="AJ37" s="696"/>
      <c r="AK37" s="696"/>
      <c r="AL37" s="696"/>
      <c r="AM37" s="696"/>
      <c r="AN37" s="696"/>
      <c r="AO37" s="696"/>
      <c r="AP37" s="696"/>
      <c r="AQ37" s="697"/>
      <c r="AR37" s="594"/>
      <c r="AS37" s="675"/>
      <c r="AT37" s="676"/>
      <c r="AU37" s="676"/>
      <c r="AV37" s="676"/>
      <c r="AW37" s="676"/>
      <c r="AX37" s="676"/>
      <c r="AY37" s="676"/>
      <c r="AZ37" s="676"/>
      <c r="BA37" s="676"/>
      <c r="BB37" s="676"/>
      <c r="BC37" s="676"/>
      <c r="BD37" s="676"/>
      <c r="BE37" s="676"/>
      <c r="BF37" s="676"/>
      <c r="BG37" s="676"/>
      <c r="BH37" s="676"/>
      <c r="BI37" s="676"/>
      <c r="BJ37" s="676"/>
      <c r="BK37" s="676"/>
      <c r="BL37" s="677"/>
    </row>
    <row r="38" spans="1:64">
      <c r="A38" s="609">
        <f>AI29</f>
        <v>6686400</v>
      </c>
      <c r="B38" s="610"/>
      <c r="C38" s="610"/>
      <c r="D38" s="610"/>
      <c r="E38" s="610"/>
      <c r="F38" s="610"/>
      <c r="G38" s="610"/>
      <c r="H38" s="610"/>
      <c r="I38" s="610"/>
      <c r="J38" s="610"/>
      <c r="K38" s="610"/>
      <c r="L38" s="610"/>
      <c r="M38" s="611"/>
      <c r="N38" s="579"/>
      <c r="O38" s="580"/>
      <c r="P38" s="580"/>
      <c r="Q38" s="580"/>
      <c r="R38" s="580"/>
      <c r="S38" s="580"/>
      <c r="T38" s="580"/>
      <c r="U38" s="580"/>
      <c r="V38" s="580"/>
      <c r="W38" s="580"/>
      <c r="X38" s="580"/>
      <c r="Y38" s="580"/>
      <c r="Z38" s="580"/>
      <c r="AA38" s="581"/>
      <c r="AB38" s="234" t="s">
        <v>59</v>
      </c>
      <c r="AC38" s="235"/>
      <c r="AD38" s="235"/>
      <c r="AE38" s="235"/>
      <c r="AF38" s="235"/>
      <c r="AG38" s="235"/>
      <c r="AH38" s="235"/>
      <c r="AI38" s="671"/>
      <c r="AJ38" s="671"/>
      <c r="AK38" s="671"/>
      <c r="AL38" s="671"/>
      <c r="AM38" s="671"/>
      <c r="AN38" s="671"/>
      <c r="AO38" s="671"/>
      <c r="AP38" s="671"/>
      <c r="AQ38" s="671"/>
      <c r="AR38" s="235"/>
      <c r="AS38" s="235"/>
      <c r="AT38" s="235"/>
      <c r="AU38" s="235"/>
      <c r="AV38" s="235"/>
      <c r="AW38" s="235"/>
      <c r="AX38" s="235"/>
      <c r="AY38" s="235"/>
      <c r="AZ38" s="235"/>
      <c r="BA38" s="235"/>
      <c r="BB38" s="235"/>
      <c r="BC38" s="235"/>
      <c r="BD38" s="235"/>
      <c r="BE38" s="235"/>
      <c r="BF38" s="235"/>
      <c r="BG38" s="235"/>
      <c r="BH38" s="235"/>
      <c r="BI38" s="235"/>
      <c r="BJ38" s="235"/>
      <c r="BK38" s="235"/>
      <c r="BL38" s="236"/>
    </row>
    <row r="39" spans="1:64" ht="7.5" customHeight="1">
      <c r="A39" s="612"/>
      <c r="B39" s="613"/>
      <c r="C39" s="613"/>
      <c r="D39" s="613"/>
      <c r="E39" s="613"/>
      <c r="F39" s="613"/>
      <c r="G39" s="613"/>
      <c r="H39" s="613"/>
      <c r="I39" s="613"/>
      <c r="J39" s="613"/>
      <c r="K39" s="613"/>
      <c r="L39" s="613"/>
      <c r="M39" s="614"/>
      <c r="N39" s="582"/>
      <c r="O39" s="583"/>
      <c r="P39" s="583"/>
      <c r="Q39" s="583"/>
      <c r="R39" s="583"/>
      <c r="S39" s="583"/>
      <c r="T39" s="583"/>
      <c r="U39" s="583"/>
      <c r="V39" s="583"/>
      <c r="W39" s="583"/>
      <c r="X39" s="583"/>
      <c r="Y39" s="583"/>
      <c r="Z39" s="583"/>
      <c r="AA39" s="584"/>
      <c r="AB39" s="237"/>
      <c r="AC39" s="238"/>
      <c r="AD39" s="238"/>
      <c r="AE39" s="238"/>
      <c r="AF39" s="238"/>
      <c r="AG39" s="238"/>
      <c r="AH39" s="238"/>
      <c r="AI39" s="522"/>
      <c r="AJ39" s="522"/>
      <c r="AK39" s="522"/>
      <c r="AL39" s="522"/>
      <c r="AM39" s="522"/>
      <c r="AN39" s="522"/>
      <c r="AO39" s="522"/>
      <c r="AP39" s="522"/>
      <c r="AQ39" s="522"/>
      <c r="AR39" s="238"/>
      <c r="AS39" s="238"/>
      <c r="AT39" s="238"/>
      <c r="AU39" s="238"/>
      <c r="AV39" s="238"/>
      <c r="AW39" s="238"/>
      <c r="AX39" s="238"/>
      <c r="AY39" s="238"/>
      <c r="AZ39" s="238"/>
      <c r="BA39" s="238"/>
      <c r="BB39" s="238"/>
      <c r="BC39" s="238"/>
      <c r="BD39" s="238"/>
      <c r="BE39" s="238"/>
      <c r="BF39" s="238"/>
      <c r="BG39" s="238"/>
      <c r="BH39" s="238"/>
      <c r="BI39" s="238"/>
      <c r="BJ39" s="238"/>
      <c r="BK39" s="238"/>
      <c r="BL39" s="239"/>
    </row>
    <row r="40" spans="1:64">
      <c r="A40" s="579"/>
      <c r="B40" s="580"/>
      <c r="C40" s="580"/>
      <c r="D40" s="580"/>
      <c r="E40" s="580"/>
      <c r="F40" s="580"/>
      <c r="G40" s="580"/>
      <c r="H40" s="580"/>
      <c r="I40" s="580"/>
      <c r="J40" s="580"/>
      <c r="K40" s="580"/>
      <c r="L40" s="580"/>
      <c r="M40" s="581"/>
      <c r="N40" s="579"/>
      <c r="O40" s="580"/>
      <c r="P40" s="580"/>
      <c r="Q40" s="580"/>
      <c r="R40" s="580"/>
      <c r="S40" s="580"/>
      <c r="T40" s="580"/>
      <c r="U40" s="580"/>
      <c r="V40" s="580"/>
      <c r="W40" s="580"/>
      <c r="X40" s="580"/>
      <c r="Y40" s="580"/>
      <c r="Z40" s="580"/>
      <c r="AA40" s="581"/>
      <c r="AB40" s="644"/>
      <c r="AC40" s="645"/>
      <c r="AD40" s="645"/>
      <c r="AE40" s="645"/>
      <c r="AF40" s="645"/>
      <c r="AG40" s="645"/>
      <c r="AH40" s="645"/>
      <c r="AI40" s="645"/>
      <c r="AJ40" s="645"/>
      <c r="AK40" s="645"/>
      <c r="AL40" s="645"/>
      <c r="AM40" s="645"/>
      <c r="AN40" s="645"/>
      <c r="AO40" s="645"/>
      <c r="AP40" s="645"/>
      <c r="AQ40" s="645"/>
      <c r="AR40" s="645"/>
      <c r="AS40" s="645"/>
      <c r="AT40" s="645"/>
      <c r="AU40" s="645"/>
      <c r="AV40" s="645"/>
      <c r="AW40" s="645"/>
      <c r="AX40" s="645"/>
      <c r="AY40" s="645"/>
      <c r="AZ40" s="645"/>
      <c r="BA40" s="645"/>
      <c r="BB40" s="645"/>
      <c r="BC40" s="645"/>
      <c r="BD40" s="645"/>
      <c r="BE40" s="645"/>
      <c r="BF40" s="645"/>
      <c r="BG40" s="645"/>
      <c r="BH40" s="645"/>
      <c r="BI40" s="645"/>
      <c r="BJ40" s="645"/>
      <c r="BK40" s="645"/>
      <c r="BL40" s="646"/>
    </row>
    <row r="41" spans="1:64" ht="7.5" customHeight="1">
      <c r="A41" s="582"/>
      <c r="B41" s="583"/>
      <c r="C41" s="583"/>
      <c r="D41" s="583"/>
      <c r="E41" s="583"/>
      <c r="F41" s="583"/>
      <c r="G41" s="583"/>
      <c r="H41" s="583"/>
      <c r="I41" s="583"/>
      <c r="J41" s="583"/>
      <c r="K41" s="583"/>
      <c r="L41" s="583"/>
      <c r="M41" s="584"/>
      <c r="N41" s="582"/>
      <c r="O41" s="583"/>
      <c r="P41" s="583"/>
      <c r="Q41" s="583"/>
      <c r="R41" s="583"/>
      <c r="S41" s="583"/>
      <c r="T41" s="583"/>
      <c r="U41" s="583"/>
      <c r="V41" s="583"/>
      <c r="W41" s="583"/>
      <c r="X41" s="583"/>
      <c r="Y41" s="583"/>
      <c r="Z41" s="583"/>
      <c r="AA41" s="584"/>
      <c r="AB41" s="647"/>
      <c r="AC41" s="648"/>
      <c r="AD41" s="648"/>
      <c r="AE41" s="648"/>
      <c r="AF41" s="648"/>
      <c r="AG41" s="648"/>
      <c r="AH41" s="648"/>
      <c r="AI41" s="648"/>
      <c r="AJ41" s="648"/>
      <c r="AK41" s="648"/>
      <c r="AL41" s="648"/>
      <c r="AM41" s="648"/>
      <c r="AN41" s="648"/>
      <c r="AO41" s="648"/>
      <c r="AP41" s="648"/>
      <c r="AQ41" s="648"/>
      <c r="AR41" s="648"/>
      <c r="AS41" s="648"/>
      <c r="AT41" s="648"/>
      <c r="AU41" s="648"/>
      <c r="AV41" s="648"/>
      <c r="AW41" s="648"/>
      <c r="AX41" s="648"/>
      <c r="AY41" s="648"/>
      <c r="AZ41" s="648"/>
      <c r="BA41" s="648"/>
      <c r="BB41" s="648"/>
      <c r="BC41" s="648"/>
      <c r="BD41" s="648"/>
      <c r="BE41" s="648"/>
      <c r="BF41" s="648"/>
      <c r="BG41" s="648"/>
      <c r="BH41" s="648"/>
      <c r="BI41" s="648"/>
      <c r="BJ41" s="648"/>
      <c r="BK41" s="648"/>
      <c r="BL41" s="649"/>
    </row>
    <row r="42" spans="1:64">
      <c r="A42" s="579"/>
      <c r="B42" s="580"/>
      <c r="C42" s="580"/>
      <c r="D42" s="580"/>
      <c r="E42" s="580"/>
      <c r="F42" s="580"/>
      <c r="G42" s="580"/>
      <c r="H42" s="580"/>
      <c r="I42" s="580"/>
      <c r="J42" s="580"/>
      <c r="K42" s="580"/>
      <c r="L42" s="580"/>
      <c r="M42" s="581"/>
      <c r="N42" s="603"/>
      <c r="O42" s="604"/>
      <c r="P42" s="604"/>
      <c r="Q42" s="604"/>
      <c r="R42" s="604"/>
      <c r="S42" s="604"/>
      <c r="T42" s="604"/>
      <c r="U42" s="604"/>
      <c r="V42" s="604"/>
      <c r="W42" s="604"/>
      <c r="X42" s="604"/>
      <c r="Y42" s="604"/>
      <c r="Z42" s="604"/>
      <c r="AA42" s="605"/>
      <c r="AB42" s="644"/>
      <c r="AC42" s="645"/>
      <c r="AD42" s="645"/>
      <c r="AE42" s="645"/>
      <c r="AF42" s="645"/>
      <c r="AG42" s="645"/>
      <c r="AH42" s="645"/>
      <c r="AI42" s="645"/>
      <c r="AJ42" s="645"/>
      <c r="AK42" s="645"/>
      <c r="AL42" s="645"/>
      <c r="AM42" s="645"/>
      <c r="AN42" s="645"/>
      <c r="AO42" s="645"/>
      <c r="AP42" s="645"/>
      <c r="AQ42" s="645"/>
      <c r="AR42" s="645"/>
      <c r="AS42" s="645"/>
      <c r="AT42" s="645"/>
      <c r="AU42" s="645"/>
      <c r="AV42" s="645"/>
      <c r="AW42" s="645"/>
      <c r="AX42" s="645"/>
      <c r="AY42" s="645"/>
      <c r="AZ42" s="645"/>
      <c r="BA42" s="645"/>
      <c r="BB42" s="645"/>
      <c r="BC42" s="645"/>
      <c r="BD42" s="645"/>
      <c r="BE42" s="645"/>
      <c r="BF42" s="645"/>
      <c r="BG42" s="645"/>
      <c r="BH42" s="645"/>
      <c r="BI42" s="645"/>
      <c r="BJ42" s="645"/>
      <c r="BK42" s="645"/>
      <c r="BL42" s="646"/>
    </row>
    <row r="43" spans="1:64" ht="7.5" customHeight="1">
      <c r="A43" s="582"/>
      <c r="B43" s="583"/>
      <c r="C43" s="583"/>
      <c r="D43" s="583"/>
      <c r="E43" s="583"/>
      <c r="F43" s="583"/>
      <c r="G43" s="583"/>
      <c r="H43" s="583"/>
      <c r="I43" s="583"/>
      <c r="J43" s="583"/>
      <c r="K43" s="583"/>
      <c r="L43" s="583"/>
      <c r="M43" s="584"/>
      <c r="N43" s="606"/>
      <c r="O43" s="607"/>
      <c r="P43" s="607"/>
      <c r="Q43" s="607"/>
      <c r="R43" s="607"/>
      <c r="S43" s="607"/>
      <c r="T43" s="607"/>
      <c r="U43" s="607"/>
      <c r="V43" s="607"/>
      <c r="W43" s="607"/>
      <c r="X43" s="607"/>
      <c r="Y43" s="607"/>
      <c r="Z43" s="607"/>
      <c r="AA43" s="608"/>
      <c r="AB43" s="647"/>
      <c r="AC43" s="648"/>
      <c r="AD43" s="648"/>
      <c r="AE43" s="648"/>
      <c r="AF43" s="648"/>
      <c r="AG43" s="648"/>
      <c r="AH43" s="648"/>
      <c r="AI43" s="648"/>
      <c r="AJ43" s="648"/>
      <c r="AK43" s="648"/>
      <c r="AL43" s="648"/>
      <c r="AM43" s="648"/>
      <c r="AN43" s="648"/>
      <c r="AO43" s="648"/>
      <c r="AP43" s="648"/>
      <c r="AQ43" s="648"/>
      <c r="AR43" s="648"/>
      <c r="AS43" s="648"/>
      <c r="AT43" s="648"/>
      <c r="AU43" s="648"/>
      <c r="AV43" s="648"/>
      <c r="AW43" s="648"/>
      <c r="AX43" s="648"/>
      <c r="AY43" s="648"/>
      <c r="AZ43" s="648"/>
      <c r="BA43" s="648"/>
      <c r="BB43" s="648"/>
      <c r="BC43" s="648"/>
      <c r="BD43" s="648"/>
      <c r="BE43" s="648"/>
      <c r="BF43" s="648"/>
      <c r="BG43" s="648"/>
      <c r="BH43" s="648"/>
      <c r="BI43" s="648"/>
      <c r="BJ43" s="648"/>
      <c r="BK43" s="648"/>
      <c r="BL43" s="649"/>
    </row>
    <row r="44" spans="1:64" ht="15" customHeight="1">
      <c r="A44" s="579"/>
      <c r="B44" s="580"/>
      <c r="C44" s="580"/>
      <c r="D44" s="580"/>
      <c r="E44" s="580"/>
      <c r="F44" s="580"/>
      <c r="G44" s="580"/>
      <c r="H44" s="580"/>
      <c r="I44" s="580"/>
      <c r="J44" s="580"/>
      <c r="K44" s="580"/>
      <c r="L44" s="580"/>
      <c r="M44" s="581"/>
      <c r="N44" s="579"/>
      <c r="O44" s="580"/>
      <c r="P44" s="580"/>
      <c r="Q44" s="580"/>
      <c r="R44" s="580"/>
      <c r="S44" s="580"/>
      <c r="T44" s="580"/>
      <c r="U44" s="580"/>
      <c r="V44" s="580"/>
      <c r="W44" s="580"/>
      <c r="X44" s="580"/>
      <c r="Y44" s="580"/>
      <c r="Z44" s="580"/>
      <c r="AA44" s="581"/>
      <c r="AB44" s="626" t="s">
        <v>60</v>
      </c>
      <c r="AC44" s="627"/>
      <c r="AD44" s="627"/>
      <c r="AE44" s="627"/>
      <c r="AF44" s="627"/>
      <c r="AG44" s="627"/>
      <c r="AH44" s="627"/>
      <c r="AI44" s="627"/>
      <c r="AJ44" s="627"/>
      <c r="AK44" s="627"/>
      <c r="AL44" s="627"/>
      <c r="AM44" s="627"/>
      <c r="AN44" s="627"/>
      <c r="AO44" s="627"/>
      <c r="AP44" s="627"/>
      <c r="AQ44" s="627"/>
      <c r="AR44" s="627"/>
      <c r="AS44" s="627"/>
      <c r="AT44" s="627"/>
      <c r="AU44" s="627"/>
      <c r="AV44" s="627"/>
      <c r="AW44" s="627"/>
      <c r="AX44" s="627"/>
      <c r="AY44" s="627"/>
      <c r="AZ44" s="627"/>
      <c r="BA44" s="627"/>
      <c r="BB44" s="627"/>
      <c r="BC44" s="627"/>
      <c r="BD44" s="627"/>
      <c r="BE44" s="627"/>
      <c r="BF44" s="627"/>
      <c r="BG44" s="627"/>
      <c r="BH44" s="627"/>
      <c r="BI44" s="627"/>
      <c r="BJ44" s="627"/>
      <c r="BK44" s="627"/>
      <c r="BL44" s="628"/>
    </row>
    <row r="45" spans="1:64" ht="7.5" customHeight="1">
      <c r="A45" s="582"/>
      <c r="B45" s="583"/>
      <c r="C45" s="583"/>
      <c r="D45" s="583"/>
      <c r="E45" s="583"/>
      <c r="F45" s="583"/>
      <c r="G45" s="583"/>
      <c r="H45" s="583"/>
      <c r="I45" s="583"/>
      <c r="J45" s="583"/>
      <c r="K45" s="583"/>
      <c r="L45" s="583"/>
      <c r="M45" s="584"/>
      <c r="N45" s="582"/>
      <c r="O45" s="583"/>
      <c r="P45" s="583"/>
      <c r="Q45" s="583"/>
      <c r="R45" s="583"/>
      <c r="S45" s="583"/>
      <c r="T45" s="583"/>
      <c r="U45" s="583"/>
      <c r="V45" s="583"/>
      <c r="W45" s="583"/>
      <c r="X45" s="583"/>
      <c r="Y45" s="583"/>
      <c r="Z45" s="583"/>
      <c r="AA45" s="584"/>
      <c r="AB45" s="629"/>
      <c r="AC45" s="630"/>
      <c r="AD45" s="630"/>
      <c r="AE45" s="630"/>
      <c r="AF45" s="630"/>
      <c r="AG45" s="630"/>
      <c r="AH45" s="630"/>
      <c r="AI45" s="630"/>
      <c r="AJ45" s="630"/>
      <c r="AK45" s="630"/>
      <c r="AL45" s="630"/>
      <c r="AM45" s="630"/>
      <c r="AN45" s="630"/>
      <c r="AO45" s="630"/>
      <c r="AP45" s="630"/>
      <c r="AQ45" s="630"/>
      <c r="AR45" s="630"/>
      <c r="AS45" s="630"/>
      <c r="AT45" s="630"/>
      <c r="AU45" s="630"/>
      <c r="AV45" s="630"/>
      <c r="AW45" s="630"/>
      <c r="AX45" s="630"/>
      <c r="AY45" s="630"/>
      <c r="AZ45" s="630"/>
      <c r="BA45" s="630"/>
      <c r="BB45" s="630"/>
      <c r="BC45" s="630"/>
      <c r="BD45" s="630"/>
      <c r="BE45" s="630"/>
      <c r="BF45" s="630"/>
      <c r="BG45" s="630"/>
      <c r="BH45" s="630"/>
      <c r="BI45" s="630"/>
      <c r="BJ45" s="630"/>
      <c r="BK45" s="630"/>
      <c r="BL45" s="631"/>
    </row>
    <row r="46" spans="1:64" ht="15" customHeight="1">
      <c r="A46" s="615">
        <f>55500+(D29*84)+(D29*1887)+(D29*533)</f>
        <v>1052092</v>
      </c>
      <c r="B46" s="616"/>
      <c r="C46" s="616"/>
      <c r="D46" s="616"/>
      <c r="E46" s="616"/>
      <c r="F46" s="616"/>
      <c r="G46" s="616"/>
      <c r="H46" s="616"/>
      <c r="I46" s="616"/>
      <c r="J46" s="616"/>
      <c r="K46" s="616"/>
      <c r="L46" s="616"/>
      <c r="M46" s="617"/>
      <c r="N46" s="579"/>
      <c r="O46" s="580"/>
      <c r="P46" s="580"/>
      <c r="Q46" s="580"/>
      <c r="R46" s="580"/>
      <c r="S46" s="580"/>
      <c r="T46" s="580"/>
      <c r="U46" s="580"/>
      <c r="V46" s="580"/>
      <c r="W46" s="580"/>
      <c r="X46" s="580"/>
      <c r="Y46" s="580"/>
      <c r="Z46" s="580"/>
      <c r="AA46" s="581"/>
      <c r="AB46" s="632" t="str">
        <f>A3</f>
        <v>PT. NUR INFINIT INDOALEA GLOBAL</v>
      </c>
      <c r="AC46" s="633"/>
      <c r="AD46" s="633"/>
      <c r="AE46" s="633"/>
      <c r="AF46" s="633"/>
      <c r="AG46" s="633"/>
      <c r="AH46" s="633"/>
      <c r="AI46" s="633"/>
      <c r="AJ46" s="633"/>
      <c r="AK46" s="633"/>
      <c r="AL46" s="633"/>
      <c r="AM46" s="633"/>
      <c r="AN46" s="633"/>
      <c r="AO46" s="633"/>
      <c r="AP46" s="633"/>
      <c r="AQ46" s="633"/>
      <c r="AR46" s="633"/>
      <c r="AS46" s="633"/>
      <c r="AT46" s="633"/>
      <c r="AU46" s="633"/>
      <c r="AV46" s="633"/>
      <c r="AW46" s="633"/>
      <c r="AX46" s="633"/>
      <c r="AY46" s="633"/>
      <c r="AZ46" s="633"/>
      <c r="BA46" s="633"/>
      <c r="BB46" s="633"/>
      <c r="BC46" s="633"/>
      <c r="BD46" s="633"/>
      <c r="BE46" s="633"/>
      <c r="BF46" s="633"/>
      <c r="BG46" s="633"/>
      <c r="BH46" s="633"/>
      <c r="BI46" s="633"/>
      <c r="BJ46" s="633"/>
      <c r="BK46" s="633"/>
      <c r="BL46" s="634"/>
    </row>
    <row r="47" spans="1:64" ht="7.5" customHeight="1">
      <c r="A47" s="618"/>
      <c r="B47" s="619"/>
      <c r="C47" s="619"/>
      <c r="D47" s="619"/>
      <c r="E47" s="619"/>
      <c r="F47" s="619"/>
      <c r="G47" s="619"/>
      <c r="H47" s="619"/>
      <c r="I47" s="619"/>
      <c r="J47" s="619"/>
      <c r="K47" s="619"/>
      <c r="L47" s="619"/>
      <c r="M47" s="620"/>
      <c r="N47" s="582"/>
      <c r="O47" s="583"/>
      <c r="P47" s="583"/>
      <c r="Q47" s="583"/>
      <c r="R47" s="583"/>
      <c r="S47" s="583"/>
      <c r="T47" s="583"/>
      <c r="U47" s="583"/>
      <c r="V47" s="583"/>
      <c r="W47" s="583"/>
      <c r="X47" s="583"/>
      <c r="Y47" s="583"/>
      <c r="Z47" s="583"/>
      <c r="AA47" s="584"/>
      <c r="AB47" s="635"/>
      <c r="AC47" s="636"/>
      <c r="AD47" s="636"/>
      <c r="AE47" s="636"/>
      <c r="AF47" s="636"/>
      <c r="AG47" s="636"/>
      <c r="AH47" s="636"/>
      <c r="AI47" s="636"/>
      <c r="AJ47" s="636"/>
      <c r="AK47" s="636"/>
      <c r="AL47" s="636"/>
      <c r="AM47" s="636"/>
      <c r="AN47" s="636"/>
      <c r="AO47" s="636"/>
      <c r="AP47" s="636"/>
      <c r="AQ47" s="636"/>
      <c r="AR47" s="636"/>
      <c r="AS47" s="636"/>
      <c r="AT47" s="636"/>
      <c r="AU47" s="636"/>
      <c r="AV47" s="636"/>
      <c r="AW47" s="636"/>
      <c r="AX47" s="636"/>
      <c r="AY47" s="636"/>
      <c r="AZ47" s="636"/>
      <c r="BA47" s="636"/>
      <c r="BB47" s="636"/>
      <c r="BC47" s="636"/>
      <c r="BD47" s="636"/>
      <c r="BE47" s="636"/>
      <c r="BF47" s="636"/>
      <c r="BG47" s="636"/>
      <c r="BH47" s="636"/>
      <c r="BI47" s="636"/>
      <c r="BJ47" s="636"/>
      <c r="BK47" s="636"/>
      <c r="BL47" s="637"/>
    </row>
    <row r="48" spans="1:64" ht="15.75">
      <c r="A48" s="240"/>
      <c r="B48" s="241"/>
      <c r="C48" s="241"/>
      <c r="D48" s="241"/>
      <c r="E48" s="242"/>
      <c r="F48" s="242"/>
      <c r="G48" s="242"/>
      <c r="H48" s="242"/>
      <c r="I48" s="242"/>
      <c r="J48" s="242"/>
      <c r="K48" s="242"/>
      <c r="L48" s="242"/>
      <c r="M48" s="243"/>
      <c r="N48" s="244"/>
      <c r="O48" s="242"/>
      <c r="P48" s="242"/>
      <c r="Q48" s="242"/>
      <c r="R48" s="242"/>
      <c r="S48" s="242"/>
      <c r="T48" s="242"/>
      <c r="U48" s="242"/>
      <c r="V48" s="242"/>
      <c r="W48" s="242"/>
      <c r="X48" s="241"/>
      <c r="Y48" s="241"/>
      <c r="Z48" s="241"/>
      <c r="AA48" s="245"/>
      <c r="AB48" s="698" t="s">
        <v>61</v>
      </c>
      <c r="AC48" s="513"/>
      <c r="AD48" s="513"/>
      <c r="AE48" s="513"/>
      <c r="AF48" s="513"/>
      <c r="AG48" s="513"/>
      <c r="AH48" s="513"/>
      <c r="AI48" s="513"/>
      <c r="AJ48" s="513"/>
      <c r="AK48" s="513"/>
      <c r="AL48" s="513"/>
      <c r="AM48" s="513"/>
      <c r="AN48" s="513"/>
      <c r="AO48" s="513"/>
      <c r="AP48" s="513"/>
      <c r="AQ48" s="513"/>
      <c r="AR48" s="513"/>
      <c r="AS48" s="513"/>
      <c r="AT48" s="513"/>
      <c r="AU48" s="513"/>
      <c r="AV48" s="513"/>
      <c r="AW48" s="513"/>
      <c r="AX48" s="513"/>
      <c r="AY48" s="513"/>
      <c r="AZ48" s="513"/>
      <c r="BA48" s="513"/>
      <c r="BB48" s="513"/>
      <c r="BC48" s="513"/>
      <c r="BD48" s="513"/>
      <c r="BE48" s="513"/>
      <c r="BF48" s="513"/>
      <c r="BG48" s="513"/>
      <c r="BH48" s="513"/>
      <c r="BI48" s="513"/>
      <c r="BJ48" s="513"/>
      <c r="BK48" s="513"/>
      <c r="BL48" s="699"/>
    </row>
    <row r="49" spans="1:64" ht="7.5" customHeight="1">
      <c r="A49" s="246"/>
      <c r="B49" s="247"/>
      <c r="C49" s="247"/>
      <c r="D49" s="247"/>
      <c r="E49" s="247"/>
      <c r="F49" s="247"/>
      <c r="G49" s="247"/>
      <c r="H49" s="247"/>
      <c r="I49" s="247"/>
      <c r="J49" s="247"/>
      <c r="K49" s="247"/>
      <c r="L49" s="247"/>
      <c r="M49" s="248"/>
      <c r="N49" s="246"/>
      <c r="O49" s="247"/>
      <c r="P49" s="247"/>
      <c r="Q49" s="247"/>
      <c r="R49" s="247"/>
      <c r="S49" s="247"/>
      <c r="T49" s="247"/>
      <c r="U49" s="247"/>
      <c r="V49" s="247"/>
      <c r="W49" s="247"/>
      <c r="X49" s="247"/>
      <c r="Y49" s="247"/>
      <c r="Z49" s="247"/>
      <c r="AA49" s="247"/>
      <c r="AB49" s="249"/>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1"/>
    </row>
    <row r="50" spans="1:64" ht="15.75">
      <c r="A50" s="609">
        <f>A38+A46</f>
        <v>7738492</v>
      </c>
      <c r="B50" s="621"/>
      <c r="C50" s="621"/>
      <c r="D50" s="621"/>
      <c r="E50" s="621"/>
      <c r="F50" s="621"/>
      <c r="G50" s="621"/>
      <c r="H50" s="621"/>
      <c r="I50" s="621"/>
      <c r="J50" s="621"/>
      <c r="K50" s="621"/>
      <c r="L50" s="621"/>
      <c r="M50" s="622"/>
      <c r="N50" s="579"/>
      <c r="O50" s="580"/>
      <c r="P50" s="580"/>
      <c r="Q50" s="580"/>
      <c r="R50" s="580"/>
      <c r="S50" s="580"/>
      <c r="T50" s="580"/>
      <c r="U50" s="580"/>
      <c r="V50" s="580"/>
      <c r="W50" s="580"/>
      <c r="X50" s="580"/>
      <c r="Y50" s="580"/>
      <c r="Z50" s="580"/>
      <c r="AA50" s="580"/>
      <c r="AB50" s="252"/>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253"/>
    </row>
    <row r="51" spans="1:64" ht="7.5" customHeight="1">
      <c r="A51" s="623"/>
      <c r="B51" s="624"/>
      <c r="C51" s="624"/>
      <c r="D51" s="624"/>
      <c r="E51" s="624"/>
      <c r="F51" s="624"/>
      <c r="G51" s="624"/>
      <c r="H51" s="624"/>
      <c r="I51" s="624"/>
      <c r="J51" s="624"/>
      <c r="K51" s="624"/>
      <c r="L51" s="624"/>
      <c r="M51" s="625"/>
      <c r="N51" s="582"/>
      <c r="O51" s="583"/>
      <c r="P51" s="583"/>
      <c r="Q51" s="583"/>
      <c r="R51" s="583"/>
      <c r="S51" s="583"/>
      <c r="T51" s="583"/>
      <c r="U51" s="583"/>
      <c r="V51" s="583"/>
      <c r="W51" s="583"/>
      <c r="X51" s="583"/>
      <c r="Y51" s="583"/>
      <c r="Z51" s="583"/>
      <c r="AA51" s="583"/>
      <c r="AB51" s="252"/>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253"/>
    </row>
    <row r="52" spans="1:64" ht="15.75">
      <c r="A52" s="579"/>
      <c r="B52" s="580"/>
      <c r="C52" s="580"/>
      <c r="D52" s="580"/>
      <c r="E52" s="580"/>
      <c r="F52" s="580"/>
      <c r="G52" s="580"/>
      <c r="H52" s="580"/>
      <c r="I52" s="580"/>
      <c r="J52" s="580"/>
      <c r="K52" s="580"/>
      <c r="L52" s="580"/>
      <c r="M52" s="581"/>
      <c r="N52" s="579"/>
      <c r="O52" s="580"/>
      <c r="P52" s="580"/>
      <c r="Q52" s="580"/>
      <c r="R52" s="580"/>
      <c r="S52" s="580"/>
      <c r="T52" s="580"/>
      <c r="U52" s="580"/>
      <c r="V52" s="580"/>
      <c r="W52" s="580"/>
      <c r="X52" s="580"/>
      <c r="Y52" s="580"/>
      <c r="Z52" s="580"/>
      <c r="AA52" s="580"/>
      <c r="AB52" s="254"/>
      <c r="AC52" s="574">
        <v>46171</v>
      </c>
      <c r="AD52" s="575"/>
      <c r="AE52" s="575"/>
      <c r="AF52" s="575"/>
      <c r="AG52" s="575"/>
      <c r="AH52" s="575"/>
      <c r="AI52" s="575"/>
      <c r="AJ52" s="575"/>
      <c r="AK52" s="575"/>
      <c r="AL52" s="255"/>
      <c r="AM52" s="255"/>
      <c r="AN52" s="255"/>
      <c r="AO52" s="575" t="s">
        <v>0</v>
      </c>
      <c r="AP52" s="575"/>
      <c r="AQ52" s="575"/>
      <c r="AR52" s="575"/>
      <c r="AS52" s="255"/>
      <c r="AT52" s="255"/>
      <c r="AU52" s="255"/>
      <c r="AV52" s="255"/>
      <c r="AW52" s="255"/>
      <c r="AX52" s="255"/>
      <c r="AY52" s="255"/>
      <c r="AZ52" s="255"/>
      <c r="BA52" s="255"/>
      <c r="BB52" s="255"/>
      <c r="BC52" s="255"/>
      <c r="BD52" s="255"/>
      <c r="BE52" s="255"/>
      <c r="BF52" s="255"/>
      <c r="BG52" s="255"/>
      <c r="BH52" s="255"/>
      <c r="BI52" s="255"/>
      <c r="BJ52" s="255"/>
      <c r="BK52" s="255"/>
      <c r="BL52" s="256"/>
    </row>
    <row r="53" spans="1:64" ht="7.5" customHeight="1">
      <c r="A53" s="582"/>
      <c r="B53" s="583"/>
      <c r="C53" s="583"/>
      <c r="D53" s="583"/>
      <c r="E53" s="583"/>
      <c r="F53" s="583"/>
      <c r="G53" s="583"/>
      <c r="H53" s="583"/>
      <c r="I53" s="583"/>
      <c r="J53" s="583"/>
      <c r="K53" s="583"/>
      <c r="L53" s="583"/>
      <c r="M53" s="584"/>
      <c r="N53" s="582"/>
      <c r="O53" s="583"/>
      <c r="P53" s="583"/>
      <c r="Q53" s="583"/>
      <c r="R53" s="583"/>
      <c r="S53" s="583"/>
      <c r="T53" s="583"/>
      <c r="U53" s="583"/>
      <c r="V53" s="583"/>
      <c r="W53" s="583"/>
      <c r="X53" s="583"/>
      <c r="Y53" s="583"/>
      <c r="Z53" s="583"/>
      <c r="AA53" s="583"/>
      <c r="AB53" s="576" t="s">
        <v>62</v>
      </c>
      <c r="AC53" s="577"/>
      <c r="AD53" s="577"/>
      <c r="AE53" s="577"/>
      <c r="AF53" s="577"/>
      <c r="AG53" s="577"/>
      <c r="AH53" s="232"/>
      <c r="AI53" s="232"/>
      <c r="AJ53" s="577" t="s">
        <v>63</v>
      </c>
      <c r="AK53" s="577"/>
      <c r="AL53" s="577"/>
      <c r="AM53" s="232"/>
      <c r="AN53" s="232"/>
      <c r="AO53" s="232"/>
      <c r="AP53" s="577" t="s">
        <v>64</v>
      </c>
      <c r="AQ53" s="577"/>
      <c r="AR53" s="232"/>
      <c r="AS53" s="232"/>
      <c r="AT53" s="232"/>
      <c r="AU53" s="577" t="s">
        <v>65</v>
      </c>
      <c r="AV53" s="577"/>
      <c r="AW53" s="577"/>
      <c r="AX53" s="577"/>
      <c r="AY53" s="577"/>
      <c r="AZ53" s="232"/>
      <c r="BA53" s="577" t="s">
        <v>66</v>
      </c>
      <c r="BB53" s="577"/>
      <c r="BC53" s="577"/>
      <c r="BD53" s="577"/>
      <c r="BE53" s="577"/>
      <c r="BF53" s="577"/>
      <c r="BG53" s="577"/>
      <c r="BH53" s="577"/>
      <c r="BI53" s="577"/>
      <c r="BJ53" s="577"/>
      <c r="BK53" s="577"/>
      <c r="BL53" s="578"/>
    </row>
    <row r="54" spans="1:64">
      <c r="A54" s="517" t="s">
        <v>67</v>
      </c>
      <c r="B54" s="556"/>
      <c r="C54" s="556"/>
      <c r="D54" s="556"/>
      <c r="E54" s="556"/>
      <c r="F54" s="556"/>
      <c r="G54" s="556"/>
      <c r="H54" s="556"/>
      <c r="I54" s="556"/>
      <c r="J54" s="556"/>
      <c r="K54" s="556"/>
      <c r="L54" s="556"/>
      <c r="M54" s="557"/>
      <c r="N54" s="579"/>
      <c r="O54" s="580"/>
      <c r="P54" s="580"/>
      <c r="Q54" s="580"/>
      <c r="R54" s="580"/>
      <c r="S54" s="580"/>
      <c r="T54" s="580"/>
      <c r="U54" s="580"/>
      <c r="V54" s="580"/>
      <c r="W54" s="580"/>
      <c r="X54" s="580"/>
      <c r="Y54" s="580"/>
      <c r="Z54" s="580"/>
      <c r="AA54" s="581"/>
      <c r="AB54" s="601"/>
      <c r="AC54" s="377"/>
      <c r="AD54" s="377"/>
      <c r="AE54" s="377"/>
      <c r="AF54" s="377"/>
      <c r="AG54" s="377"/>
      <c r="AH54" s="377"/>
      <c r="AI54" s="377"/>
      <c r="AJ54" s="377"/>
      <c r="AK54" s="377"/>
      <c r="AL54" s="377"/>
      <c r="AM54" s="377"/>
      <c r="AN54" s="602"/>
      <c r="AO54" s="687" t="str">
        <f>AT1</f>
        <v>126-91929552</v>
      </c>
      <c r="AP54" s="688"/>
      <c r="AQ54" s="688"/>
      <c r="AR54" s="688"/>
      <c r="AS54" s="688"/>
      <c r="AT54" s="688"/>
      <c r="AU54" s="688"/>
      <c r="AV54" s="688"/>
      <c r="AW54" s="688"/>
      <c r="AX54" s="688"/>
      <c r="AY54" s="688"/>
      <c r="AZ54" s="688"/>
      <c r="BA54" s="688"/>
      <c r="BB54" s="688"/>
      <c r="BC54" s="688"/>
      <c r="BD54" s="688"/>
      <c r="BE54" s="688"/>
      <c r="BF54" s="688"/>
      <c r="BG54" s="688"/>
      <c r="BH54" s="688"/>
      <c r="BI54" s="688"/>
      <c r="BJ54" s="688"/>
      <c r="BK54" s="688"/>
      <c r="BL54" s="689"/>
    </row>
    <row r="55" spans="1:64" ht="7.5" customHeight="1">
      <c r="A55" s="576"/>
      <c r="B55" s="577"/>
      <c r="C55" s="577"/>
      <c r="D55" s="577"/>
      <c r="E55" s="577"/>
      <c r="F55" s="577"/>
      <c r="G55" s="577"/>
      <c r="H55" s="577"/>
      <c r="I55" s="577"/>
      <c r="J55" s="577"/>
      <c r="K55" s="577"/>
      <c r="L55" s="577"/>
      <c r="M55" s="578"/>
      <c r="N55" s="582"/>
      <c r="O55" s="583"/>
      <c r="P55" s="583"/>
      <c r="Q55" s="583"/>
      <c r="R55" s="583"/>
      <c r="S55" s="583"/>
      <c r="T55" s="583"/>
      <c r="U55" s="583"/>
      <c r="V55" s="583"/>
      <c r="W55" s="583"/>
      <c r="X55" s="583"/>
      <c r="Y55" s="583"/>
      <c r="Z55" s="583"/>
      <c r="AA55" s="584"/>
      <c r="AB55" s="582"/>
      <c r="AC55" s="583"/>
      <c r="AD55" s="583"/>
      <c r="AE55" s="583"/>
      <c r="AF55" s="583"/>
      <c r="AG55" s="583"/>
      <c r="AH55" s="583"/>
      <c r="AI55" s="583"/>
      <c r="AJ55" s="583"/>
      <c r="AK55" s="583"/>
      <c r="AL55" s="583"/>
      <c r="AM55" s="583"/>
      <c r="AN55" s="584"/>
      <c r="AO55" s="690"/>
      <c r="AP55" s="691"/>
      <c r="AQ55" s="691"/>
      <c r="AR55" s="691"/>
      <c r="AS55" s="691"/>
      <c r="AT55" s="691"/>
      <c r="AU55" s="691"/>
      <c r="AV55" s="691"/>
      <c r="AW55" s="691"/>
      <c r="AX55" s="691"/>
      <c r="AY55" s="691"/>
      <c r="AZ55" s="691"/>
      <c r="BA55" s="691"/>
      <c r="BB55" s="691"/>
      <c r="BC55" s="691"/>
      <c r="BD55" s="691"/>
      <c r="BE55" s="691"/>
      <c r="BF55" s="691"/>
      <c r="BG55" s="691"/>
      <c r="BH55" s="691"/>
      <c r="BI55" s="691"/>
      <c r="BJ55" s="691"/>
      <c r="BK55" s="691"/>
      <c r="BL55" s="692"/>
    </row>
    <row r="56" spans="1:64" ht="15.75">
      <c r="A56" s="588" t="s">
        <v>68</v>
      </c>
      <c r="B56" s="588"/>
      <c r="C56" s="588"/>
      <c r="D56" s="588"/>
      <c r="E56" s="588"/>
      <c r="F56" s="588"/>
      <c r="G56" s="588"/>
      <c r="H56" s="588"/>
      <c r="I56" s="588"/>
      <c r="J56" s="588"/>
      <c r="K56" s="588"/>
      <c r="L56" s="588"/>
      <c r="M56" s="588"/>
      <c r="N56" s="588"/>
      <c r="O56" s="588"/>
      <c r="P56" s="588"/>
      <c r="Q56" s="588"/>
      <c r="R56" s="588"/>
      <c r="S56" s="588"/>
      <c r="T56" s="588"/>
      <c r="U56" s="588"/>
      <c r="V56" s="588"/>
      <c r="W56" s="588"/>
      <c r="X56" s="588"/>
      <c r="Y56" s="588"/>
      <c r="Z56" s="588"/>
      <c r="AA56" s="588"/>
      <c r="AB56" s="588"/>
      <c r="AC56" s="588"/>
      <c r="AD56" s="588"/>
      <c r="AE56" s="588"/>
      <c r="AF56" s="588"/>
      <c r="AG56" s="588"/>
      <c r="AH56" s="588"/>
      <c r="AI56" s="588"/>
      <c r="AJ56" s="588"/>
      <c r="AK56" s="588"/>
      <c r="AL56" s="588"/>
      <c r="AM56" s="588"/>
      <c r="AN56" s="588"/>
      <c r="AO56" s="588"/>
      <c r="AP56" s="588"/>
      <c r="AQ56" s="588"/>
      <c r="AR56" s="588"/>
      <c r="AS56" s="588"/>
      <c r="AT56" s="588"/>
      <c r="AU56" s="588"/>
      <c r="AV56" s="588"/>
      <c r="AW56" s="588"/>
      <c r="AX56" s="588"/>
      <c r="AY56" s="588"/>
      <c r="AZ56" s="588"/>
      <c r="BA56" s="588"/>
      <c r="BB56" s="588"/>
      <c r="BC56" s="588"/>
      <c r="BD56" s="588"/>
      <c r="BE56" s="588"/>
      <c r="BF56" s="588"/>
      <c r="BG56" s="588"/>
      <c r="BH56" s="588"/>
      <c r="BI56" s="588"/>
      <c r="BJ56" s="588"/>
      <c r="BK56" s="588"/>
      <c r="BL56" s="588"/>
    </row>
  </sheetData>
  <mergeCells count="105">
    <mergeCell ref="A54:M55"/>
    <mergeCell ref="AS27:BL28"/>
    <mergeCell ref="AI27:AQ28"/>
    <mergeCell ref="S27:Y28"/>
    <mergeCell ref="AB40:BL41"/>
    <mergeCell ref="AB42:BL43"/>
    <mergeCell ref="AR22:BL23"/>
    <mergeCell ref="A29:C36"/>
    <mergeCell ref="D29:I36"/>
    <mergeCell ref="A27:C28"/>
    <mergeCell ref="S29:Y37"/>
    <mergeCell ref="AI38:AQ39"/>
    <mergeCell ref="N50:AA51"/>
    <mergeCell ref="A52:M53"/>
    <mergeCell ref="N52:AA53"/>
    <mergeCell ref="AA29:AG37"/>
    <mergeCell ref="AS29:BL37"/>
    <mergeCell ref="AI29:AQ36"/>
    <mergeCell ref="AO54:BL55"/>
    <mergeCell ref="M28:Q28"/>
    <mergeCell ref="A37:C37"/>
    <mergeCell ref="D37:I37"/>
    <mergeCell ref="AI37:AQ37"/>
    <mergeCell ref="AB48:BL48"/>
    <mergeCell ref="A56:BL56"/>
    <mergeCell ref="J27:J28"/>
    <mergeCell ref="J29:J37"/>
    <mergeCell ref="K27:K37"/>
    <mergeCell ref="L29:L37"/>
    <mergeCell ref="R27:R37"/>
    <mergeCell ref="Z27:Z37"/>
    <mergeCell ref="AH27:AH37"/>
    <mergeCell ref="AR27:AR37"/>
    <mergeCell ref="D27:I28"/>
    <mergeCell ref="N54:AA55"/>
    <mergeCell ref="AB54:AN55"/>
    <mergeCell ref="N38:AA39"/>
    <mergeCell ref="N40:AA41"/>
    <mergeCell ref="A40:M41"/>
    <mergeCell ref="A42:M43"/>
    <mergeCell ref="N42:AA43"/>
    <mergeCell ref="A38:M39"/>
    <mergeCell ref="A46:M47"/>
    <mergeCell ref="A50:M51"/>
    <mergeCell ref="AB44:BL45"/>
    <mergeCell ref="AB46:BL47"/>
    <mergeCell ref="A44:M45"/>
    <mergeCell ref="N44:AA45"/>
    <mergeCell ref="AC52:AK52"/>
    <mergeCell ref="AO52:AR52"/>
    <mergeCell ref="AB53:AG53"/>
    <mergeCell ref="AJ53:AL53"/>
    <mergeCell ref="AP53:AQ53"/>
    <mergeCell ref="AU53:AY53"/>
    <mergeCell ref="BA53:BL53"/>
    <mergeCell ref="N46:AA47"/>
    <mergeCell ref="M29:Q37"/>
    <mergeCell ref="A22:Q22"/>
    <mergeCell ref="R22:U22"/>
    <mergeCell ref="AD22:AG22"/>
    <mergeCell ref="AH22:AQ22"/>
    <mergeCell ref="A23:Q23"/>
    <mergeCell ref="Z23:AG23"/>
    <mergeCell ref="AH23:AQ23"/>
    <mergeCell ref="A24:BL24"/>
    <mergeCell ref="L27:Q27"/>
    <mergeCell ref="A25:BL26"/>
    <mergeCell ref="A19:AG19"/>
    <mergeCell ref="D20:U20"/>
    <mergeCell ref="AH20:AK20"/>
    <mergeCell ref="AN20:AQ20"/>
    <mergeCell ref="AR20:AU20"/>
    <mergeCell ref="AV20:BD20"/>
    <mergeCell ref="BE20:BL20"/>
    <mergeCell ref="D21:U21"/>
    <mergeCell ref="AH21:AK21"/>
    <mergeCell ref="AN21:AO21"/>
    <mergeCell ref="AP21:AQ21"/>
    <mergeCell ref="AR21:AS21"/>
    <mergeCell ref="AT21:AU21"/>
    <mergeCell ref="AV21:BD21"/>
    <mergeCell ref="BE21:BL21"/>
    <mergeCell ref="A20:C21"/>
    <mergeCell ref="V20:X21"/>
    <mergeCell ref="Y20:AA21"/>
    <mergeCell ref="AB20:AD21"/>
    <mergeCell ref="AE20:AG21"/>
    <mergeCell ref="AL20:AM21"/>
    <mergeCell ref="AH13:BL19"/>
    <mergeCell ref="A1:C1"/>
    <mergeCell ref="D1:F1"/>
    <mergeCell ref="G1:S1"/>
    <mergeCell ref="AT1:BJ1"/>
    <mergeCell ref="AH6:BL6"/>
    <mergeCell ref="A7:S7"/>
    <mergeCell ref="T7:AG7"/>
    <mergeCell ref="A13:AG13"/>
    <mergeCell ref="A18:AG18"/>
    <mergeCell ref="A16:P17"/>
    <mergeCell ref="Q16:AG17"/>
    <mergeCell ref="AN2:BL5"/>
    <mergeCell ref="A4:AG6"/>
    <mergeCell ref="A9:AG12"/>
    <mergeCell ref="A14:AG15"/>
    <mergeCell ref="AH7:BL12"/>
  </mergeCells>
  <pageMargins left="0" right="0" top="0" bottom="0" header="0.31496062992125984" footer="0"/>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L56"/>
  <sheetViews>
    <sheetView showGridLines="0" view="pageLayout" zoomScale="110" zoomScaleNormal="100" zoomScalePageLayoutView="110" workbookViewId="0">
      <selection activeCell="A13" sqref="A13:AG13"/>
    </sheetView>
  </sheetViews>
  <sheetFormatPr defaultColWidth="9" defaultRowHeight="15"/>
  <cols>
    <col min="1" max="65" width="1.5703125" customWidth="1"/>
  </cols>
  <sheetData>
    <row r="1" spans="1:64" ht="22.5" customHeight="1">
      <c r="A1" s="267">
        <f>'1'!A1</f>
        <v>126</v>
      </c>
      <c r="B1" s="267"/>
      <c r="C1" s="267"/>
      <c r="D1" s="700" t="s">
        <v>0</v>
      </c>
      <c r="E1" s="458"/>
      <c r="F1" s="701"/>
      <c r="G1" s="702">
        <f>'1'!G1</f>
        <v>91929552</v>
      </c>
      <c r="H1" s="702"/>
      <c r="I1" s="702"/>
      <c r="J1" s="702"/>
      <c r="K1" s="702"/>
      <c r="L1" s="702"/>
      <c r="M1" s="702"/>
      <c r="N1" s="702"/>
      <c r="O1" s="702"/>
      <c r="P1" s="702"/>
      <c r="Q1" s="702"/>
      <c r="R1" s="702"/>
      <c r="S1" s="702"/>
      <c r="AT1" s="267" t="str">
        <f>'1'!AT1</f>
        <v>126-91929552</v>
      </c>
      <c r="AU1" s="267"/>
      <c r="AV1" s="267"/>
      <c r="AW1" s="267"/>
      <c r="AX1" s="267"/>
      <c r="AY1" s="267"/>
      <c r="AZ1" s="267"/>
      <c r="BA1" s="267"/>
      <c r="BB1" s="267"/>
      <c r="BC1" s="267"/>
      <c r="BD1" s="267"/>
      <c r="BE1" s="267"/>
      <c r="BF1" s="267"/>
      <c r="BG1" s="267"/>
      <c r="BH1" s="267"/>
      <c r="BI1" s="267"/>
      <c r="BJ1" s="267"/>
    </row>
    <row r="2" spans="1:64">
      <c r="A2" s="159" t="s">
        <v>1</v>
      </c>
      <c r="B2" s="160"/>
      <c r="C2" s="160"/>
      <c r="D2" s="160"/>
      <c r="E2" s="160"/>
      <c r="F2" s="160"/>
      <c r="G2" s="160"/>
      <c r="H2" s="160"/>
      <c r="I2" s="160"/>
      <c r="J2" s="160"/>
      <c r="K2" s="160"/>
      <c r="L2" s="160"/>
      <c r="M2" s="160"/>
      <c r="N2" s="160"/>
      <c r="O2" s="160"/>
      <c r="P2" s="160"/>
      <c r="Q2" s="160"/>
      <c r="R2" s="160"/>
      <c r="S2" s="160"/>
      <c r="T2" s="161" t="s">
        <v>2</v>
      </c>
      <c r="U2" s="160"/>
      <c r="V2" s="160"/>
      <c r="W2" s="160"/>
      <c r="X2" s="160"/>
      <c r="Y2" s="160"/>
      <c r="Z2" s="160"/>
      <c r="AA2" s="160"/>
      <c r="AB2" s="160"/>
      <c r="AC2" s="160"/>
      <c r="AD2" s="160"/>
      <c r="AE2" s="160"/>
      <c r="AF2" s="160"/>
      <c r="AG2" s="162"/>
      <c r="AH2" s="163" t="s">
        <v>3</v>
      </c>
      <c r="AI2" s="164"/>
      <c r="AJ2" s="164"/>
      <c r="AK2" s="164"/>
      <c r="AL2" s="164"/>
      <c r="AM2" s="164"/>
      <c r="AN2" s="888" t="str">
        <f>'1'!AN2</f>
        <v>GARUDA INDONESIA</v>
      </c>
      <c r="AO2" s="888"/>
      <c r="AP2" s="888"/>
      <c r="AQ2" s="888"/>
      <c r="AR2" s="888"/>
      <c r="AS2" s="888"/>
      <c r="AT2" s="888"/>
      <c r="AU2" s="888"/>
      <c r="AV2" s="888"/>
      <c r="AW2" s="888"/>
      <c r="AX2" s="888"/>
      <c r="AY2" s="888"/>
      <c r="AZ2" s="888"/>
      <c r="BA2" s="888"/>
      <c r="BB2" s="888"/>
      <c r="BC2" s="888"/>
      <c r="BD2" s="888"/>
      <c r="BE2" s="888"/>
      <c r="BF2" s="888"/>
      <c r="BG2" s="888"/>
      <c r="BH2" s="888"/>
      <c r="BI2" s="888"/>
      <c r="BJ2" s="888"/>
      <c r="BK2" s="888"/>
      <c r="BL2" s="889"/>
    </row>
    <row r="3" spans="1:64" ht="16.5">
      <c r="A3" s="165" t="str">
        <f>'1'!A3</f>
        <v>PT. NUR INFINIT INDOALEA GLOBAL</v>
      </c>
      <c r="B3" s="6"/>
      <c r="C3" s="6"/>
      <c r="D3" s="6"/>
      <c r="E3" s="6"/>
      <c r="F3" s="6"/>
      <c r="G3" s="6"/>
      <c r="H3" s="6"/>
      <c r="I3" s="6"/>
      <c r="J3" s="6"/>
      <c r="K3" s="6"/>
      <c r="L3" s="6"/>
      <c r="M3" s="6"/>
      <c r="N3" s="6"/>
      <c r="O3" s="6"/>
      <c r="P3" s="6"/>
      <c r="Q3" s="6"/>
      <c r="R3" s="6"/>
      <c r="S3" s="6"/>
      <c r="T3" s="64"/>
      <c r="U3" s="64"/>
      <c r="V3" s="64"/>
      <c r="W3" s="64"/>
      <c r="X3" s="64"/>
      <c r="Y3" s="64"/>
      <c r="Z3" s="64"/>
      <c r="AA3" s="64"/>
      <c r="AB3" s="64"/>
      <c r="AC3" s="64"/>
      <c r="AD3" s="64"/>
      <c r="AE3" s="64"/>
      <c r="AF3" s="64"/>
      <c r="AG3" s="166"/>
      <c r="AH3" s="167"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890"/>
    </row>
    <row r="4" spans="1:64">
      <c r="A4" s="706"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707"/>
      <c r="AH4" s="168"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890"/>
    </row>
    <row r="5" spans="1:64">
      <c r="A5" s="708"/>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707"/>
      <c r="AH5" s="169"/>
      <c r="AI5" s="169"/>
      <c r="AJ5" s="169"/>
      <c r="AK5" s="169"/>
      <c r="AL5" s="169"/>
      <c r="AM5" s="169"/>
      <c r="AN5" s="891"/>
      <c r="AO5" s="891"/>
      <c r="AP5" s="891"/>
      <c r="AQ5" s="891"/>
      <c r="AR5" s="891"/>
      <c r="AS5" s="891"/>
      <c r="AT5" s="891"/>
      <c r="AU5" s="891"/>
      <c r="AV5" s="891"/>
      <c r="AW5" s="891"/>
      <c r="AX5" s="891"/>
      <c r="AY5" s="891"/>
      <c r="AZ5" s="891"/>
      <c r="BA5" s="891"/>
      <c r="BB5" s="891"/>
      <c r="BC5" s="891"/>
      <c r="BD5" s="891"/>
      <c r="BE5" s="891"/>
      <c r="BF5" s="891"/>
      <c r="BG5" s="891"/>
      <c r="BH5" s="891"/>
      <c r="BI5" s="891"/>
      <c r="BJ5" s="891"/>
      <c r="BK5" s="891"/>
      <c r="BL5" s="892"/>
    </row>
    <row r="6" spans="1:64">
      <c r="A6" s="709"/>
      <c r="B6" s="710"/>
      <c r="C6" s="710"/>
      <c r="D6" s="710"/>
      <c r="E6" s="710"/>
      <c r="F6" s="710"/>
      <c r="G6" s="710"/>
      <c r="H6" s="710"/>
      <c r="I6" s="710"/>
      <c r="J6" s="710"/>
      <c r="K6" s="710"/>
      <c r="L6" s="710"/>
      <c r="M6" s="710"/>
      <c r="N6" s="710"/>
      <c r="O6" s="710"/>
      <c r="P6" s="710"/>
      <c r="Q6" s="710"/>
      <c r="R6" s="710"/>
      <c r="S6" s="710"/>
      <c r="T6" s="710"/>
      <c r="U6" s="710"/>
      <c r="V6" s="710"/>
      <c r="W6" s="710"/>
      <c r="X6" s="710"/>
      <c r="Y6" s="710"/>
      <c r="Z6" s="710"/>
      <c r="AA6" s="710"/>
      <c r="AB6" s="710"/>
      <c r="AC6" s="710"/>
      <c r="AD6" s="710"/>
      <c r="AE6" s="710"/>
      <c r="AF6" s="710"/>
      <c r="AG6" s="711"/>
      <c r="AH6" s="703" t="s">
        <v>9</v>
      </c>
      <c r="AI6" s="704"/>
      <c r="AJ6" s="704"/>
      <c r="AK6" s="704"/>
      <c r="AL6" s="704"/>
      <c r="AM6" s="704"/>
      <c r="AN6" s="704"/>
      <c r="AO6" s="704"/>
      <c r="AP6" s="704"/>
      <c r="AQ6" s="704"/>
      <c r="AR6" s="704"/>
      <c r="AS6" s="704"/>
      <c r="AT6" s="704"/>
      <c r="AU6" s="704"/>
      <c r="AV6" s="704"/>
      <c r="AW6" s="704"/>
      <c r="AX6" s="704"/>
      <c r="AY6" s="704"/>
      <c r="AZ6" s="704"/>
      <c r="BA6" s="704"/>
      <c r="BB6" s="704"/>
      <c r="BC6" s="704"/>
      <c r="BD6" s="704"/>
      <c r="BE6" s="704"/>
      <c r="BF6" s="704"/>
      <c r="BG6" s="704"/>
      <c r="BH6" s="704"/>
      <c r="BI6" s="704"/>
      <c r="BJ6" s="704"/>
      <c r="BK6" s="704"/>
      <c r="BL6" s="705"/>
    </row>
    <row r="7" spans="1:64">
      <c r="A7" s="893" t="s">
        <v>10</v>
      </c>
      <c r="B7" s="850"/>
      <c r="C7" s="850"/>
      <c r="D7" s="850"/>
      <c r="E7" s="850"/>
      <c r="F7" s="850"/>
      <c r="G7" s="850"/>
      <c r="H7" s="850"/>
      <c r="I7" s="850"/>
      <c r="J7" s="850"/>
      <c r="K7" s="850"/>
      <c r="L7" s="850"/>
      <c r="M7" s="850"/>
      <c r="N7" s="850"/>
      <c r="O7" s="850"/>
      <c r="P7" s="850"/>
      <c r="Q7" s="850"/>
      <c r="R7" s="850"/>
      <c r="S7" s="850"/>
      <c r="T7" s="850" t="s">
        <v>11</v>
      </c>
      <c r="U7" s="850"/>
      <c r="V7" s="850"/>
      <c r="W7" s="850"/>
      <c r="X7" s="850"/>
      <c r="Y7" s="850"/>
      <c r="Z7" s="850"/>
      <c r="AA7" s="850"/>
      <c r="AB7" s="850"/>
      <c r="AC7" s="850"/>
      <c r="AD7" s="850"/>
      <c r="AE7" s="850"/>
      <c r="AF7" s="850"/>
      <c r="AG7" s="851"/>
      <c r="AH7" s="872" t="s">
        <v>12</v>
      </c>
      <c r="AI7" s="873"/>
      <c r="AJ7" s="873"/>
      <c r="AK7" s="873"/>
      <c r="AL7" s="873"/>
      <c r="AM7" s="873"/>
      <c r="AN7" s="873"/>
      <c r="AO7" s="873"/>
      <c r="AP7" s="873"/>
      <c r="AQ7" s="873"/>
      <c r="AR7" s="873"/>
      <c r="AS7" s="873"/>
      <c r="AT7" s="873"/>
      <c r="AU7" s="873"/>
      <c r="AV7" s="873"/>
      <c r="AW7" s="873"/>
      <c r="AX7" s="873"/>
      <c r="AY7" s="873"/>
      <c r="AZ7" s="873"/>
      <c r="BA7" s="873"/>
      <c r="BB7" s="873"/>
      <c r="BC7" s="873"/>
      <c r="BD7" s="873"/>
      <c r="BE7" s="873"/>
      <c r="BF7" s="873"/>
      <c r="BG7" s="873"/>
      <c r="BH7" s="873"/>
      <c r="BI7" s="873"/>
      <c r="BJ7" s="873"/>
      <c r="BK7" s="873"/>
      <c r="BL7" s="874"/>
    </row>
    <row r="8" spans="1:64">
      <c r="A8" s="259" t="str">
        <f>'1'!A8</f>
        <v>LINEHAUL EXPRESS SINGAPORE PTE LTD</v>
      </c>
      <c r="B8" s="15"/>
      <c r="C8" s="15"/>
      <c r="D8" s="15"/>
      <c r="E8" s="15"/>
      <c r="F8" s="15"/>
      <c r="G8" s="15"/>
      <c r="H8" s="15"/>
      <c r="I8" s="15"/>
      <c r="J8" s="15"/>
      <c r="K8" s="15"/>
      <c r="L8" s="15"/>
      <c r="M8" s="15"/>
      <c r="N8" s="15"/>
      <c r="O8" s="15"/>
      <c r="P8" s="15"/>
      <c r="Q8" s="15"/>
      <c r="R8" s="15"/>
      <c r="S8" s="15"/>
      <c r="T8" s="64"/>
      <c r="U8" s="64"/>
      <c r="V8" s="64"/>
      <c r="W8" s="64"/>
      <c r="X8" s="64"/>
      <c r="Y8" s="64"/>
      <c r="Z8" s="64"/>
      <c r="AA8" s="64"/>
      <c r="AB8" s="64"/>
      <c r="AC8" s="64"/>
      <c r="AD8" s="64"/>
      <c r="AE8" s="64"/>
      <c r="AF8" s="64"/>
      <c r="AG8" s="166"/>
      <c r="AH8" s="875"/>
      <c r="AI8" s="876"/>
      <c r="AJ8" s="876"/>
      <c r="AK8" s="876"/>
      <c r="AL8" s="876"/>
      <c r="AM8" s="876"/>
      <c r="AN8" s="876"/>
      <c r="AO8" s="876"/>
      <c r="AP8" s="876"/>
      <c r="AQ8" s="876"/>
      <c r="AR8" s="876"/>
      <c r="AS8" s="876"/>
      <c r="AT8" s="876"/>
      <c r="AU8" s="876"/>
      <c r="AV8" s="876"/>
      <c r="AW8" s="876"/>
      <c r="AX8" s="876"/>
      <c r="AY8" s="876"/>
      <c r="AZ8" s="876"/>
      <c r="BA8" s="876"/>
      <c r="BB8" s="876"/>
      <c r="BC8" s="876"/>
      <c r="BD8" s="876"/>
      <c r="BE8" s="876"/>
      <c r="BF8" s="876"/>
      <c r="BG8" s="876"/>
      <c r="BH8" s="876"/>
      <c r="BI8" s="876"/>
      <c r="BJ8" s="876"/>
      <c r="BK8" s="876"/>
      <c r="BL8" s="877"/>
    </row>
    <row r="9" spans="1:64">
      <c r="A9" s="881" t="str">
        <f>'1'!A9</f>
        <v>7 AIRLINE ROAD, 03-12 CARGO AGENT'S BUILDING - E
SINGAPORE - 819834
PHONE +65 65453778</v>
      </c>
      <c r="B9" s="882"/>
      <c r="C9" s="882"/>
      <c r="D9" s="882"/>
      <c r="E9" s="882"/>
      <c r="F9" s="882"/>
      <c r="G9" s="882"/>
      <c r="H9" s="882"/>
      <c r="I9" s="882"/>
      <c r="J9" s="882"/>
      <c r="K9" s="882"/>
      <c r="L9" s="882"/>
      <c r="M9" s="882"/>
      <c r="N9" s="882"/>
      <c r="O9" s="882"/>
      <c r="P9" s="882"/>
      <c r="Q9" s="882"/>
      <c r="R9" s="882"/>
      <c r="S9" s="882"/>
      <c r="T9" s="882"/>
      <c r="U9" s="882"/>
      <c r="V9" s="882"/>
      <c r="W9" s="882"/>
      <c r="X9" s="882"/>
      <c r="Y9" s="882"/>
      <c r="Z9" s="882"/>
      <c r="AA9" s="882"/>
      <c r="AB9" s="882"/>
      <c r="AC9" s="882"/>
      <c r="AD9" s="882"/>
      <c r="AE9" s="882"/>
      <c r="AF9" s="882"/>
      <c r="AG9" s="883"/>
      <c r="AH9" s="875"/>
      <c r="AI9" s="876"/>
      <c r="AJ9" s="876"/>
      <c r="AK9" s="876"/>
      <c r="AL9" s="876"/>
      <c r="AM9" s="876"/>
      <c r="AN9" s="876"/>
      <c r="AO9" s="876"/>
      <c r="AP9" s="876"/>
      <c r="AQ9" s="876"/>
      <c r="AR9" s="876"/>
      <c r="AS9" s="876"/>
      <c r="AT9" s="876"/>
      <c r="AU9" s="876"/>
      <c r="AV9" s="876"/>
      <c r="AW9" s="876"/>
      <c r="AX9" s="876"/>
      <c r="AY9" s="876"/>
      <c r="AZ9" s="876"/>
      <c r="BA9" s="876"/>
      <c r="BB9" s="876"/>
      <c r="BC9" s="876"/>
      <c r="BD9" s="876"/>
      <c r="BE9" s="876"/>
      <c r="BF9" s="876"/>
      <c r="BG9" s="876"/>
      <c r="BH9" s="876"/>
      <c r="BI9" s="876"/>
      <c r="BJ9" s="876"/>
      <c r="BK9" s="876"/>
      <c r="BL9" s="877"/>
    </row>
    <row r="10" spans="1:64">
      <c r="A10" s="884"/>
      <c r="B10" s="882"/>
      <c r="C10" s="882"/>
      <c r="D10" s="882"/>
      <c r="E10" s="882"/>
      <c r="F10" s="882"/>
      <c r="G10" s="882"/>
      <c r="H10" s="882"/>
      <c r="I10" s="882"/>
      <c r="J10" s="882"/>
      <c r="K10" s="882"/>
      <c r="L10" s="882"/>
      <c r="M10" s="882"/>
      <c r="N10" s="882"/>
      <c r="O10" s="882"/>
      <c r="P10" s="882"/>
      <c r="Q10" s="882"/>
      <c r="R10" s="882"/>
      <c r="S10" s="882"/>
      <c r="T10" s="882"/>
      <c r="U10" s="882"/>
      <c r="V10" s="882"/>
      <c r="W10" s="882"/>
      <c r="X10" s="882"/>
      <c r="Y10" s="882"/>
      <c r="Z10" s="882"/>
      <c r="AA10" s="882"/>
      <c r="AB10" s="882"/>
      <c r="AC10" s="882"/>
      <c r="AD10" s="882"/>
      <c r="AE10" s="882"/>
      <c r="AF10" s="882"/>
      <c r="AG10" s="883"/>
      <c r="AH10" s="875"/>
      <c r="AI10" s="876"/>
      <c r="AJ10" s="876"/>
      <c r="AK10" s="876"/>
      <c r="AL10" s="876"/>
      <c r="AM10" s="876"/>
      <c r="AN10" s="876"/>
      <c r="AO10" s="876"/>
      <c r="AP10" s="876"/>
      <c r="AQ10" s="876"/>
      <c r="AR10" s="876"/>
      <c r="AS10" s="876"/>
      <c r="AT10" s="876"/>
      <c r="AU10" s="876"/>
      <c r="AV10" s="876"/>
      <c r="AW10" s="876"/>
      <c r="AX10" s="876"/>
      <c r="AY10" s="876"/>
      <c r="AZ10" s="876"/>
      <c r="BA10" s="876"/>
      <c r="BB10" s="876"/>
      <c r="BC10" s="876"/>
      <c r="BD10" s="876"/>
      <c r="BE10" s="876"/>
      <c r="BF10" s="876"/>
      <c r="BG10" s="876"/>
      <c r="BH10" s="876"/>
      <c r="BI10" s="876"/>
      <c r="BJ10" s="876"/>
      <c r="BK10" s="876"/>
      <c r="BL10" s="877"/>
    </row>
    <row r="11" spans="1:64">
      <c r="A11" s="884"/>
      <c r="B11" s="882"/>
      <c r="C11" s="882"/>
      <c r="D11" s="882"/>
      <c r="E11" s="882"/>
      <c r="F11" s="882"/>
      <c r="G11" s="882"/>
      <c r="H11" s="882"/>
      <c r="I11" s="882"/>
      <c r="J11" s="882"/>
      <c r="K11" s="882"/>
      <c r="L11" s="882"/>
      <c r="M11" s="882"/>
      <c r="N11" s="882"/>
      <c r="O11" s="882"/>
      <c r="P11" s="882"/>
      <c r="Q11" s="882"/>
      <c r="R11" s="882"/>
      <c r="S11" s="882"/>
      <c r="T11" s="882"/>
      <c r="U11" s="882"/>
      <c r="V11" s="882"/>
      <c r="W11" s="882"/>
      <c r="X11" s="882"/>
      <c r="Y11" s="882"/>
      <c r="Z11" s="882"/>
      <c r="AA11" s="882"/>
      <c r="AB11" s="882"/>
      <c r="AC11" s="882"/>
      <c r="AD11" s="882"/>
      <c r="AE11" s="882"/>
      <c r="AF11" s="882"/>
      <c r="AG11" s="883"/>
      <c r="AH11" s="875"/>
      <c r="AI11" s="876"/>
      <c r="AJ11" s="876"/>
      <c r="AK11" s="876"/>
      <c r="AL11" s="876"/>
      <c r="AM11" s="876"/>
      <c r="AN11" s="876"/>
      <c r="AO11" s="876"/>
      <c r="AP11" s="876"/>
      <c r="AQ11" s="876"/>
      <c r="AR11" s="876"/>
      <c r="AS11" s="876"/>
      <c r="AT11" s="876"/>
      <c r="AU11" s="876"/>
      <c r="AV11" s="876"/>
      <c r="AW11" s="876"/>
      <c r="AX11" s="876"/>
      <c r="AY11" s="876"/>
      <c r="AZ11" s="876"/>
      <c r="BA11" s="876"/>
      <c r="BB11" s="876"/>
      <c r="BC11" s="876"/>
      <c r="BD11" s="876"/>
      <c r="BE11" s="876"/>
      <c r="BF11" s="876"/>
      <c r="BG11" s="876"/>
      <c r="BH11" s="876"/>
      <c r="BI11" s="876"/>
      <c r="BJ11" s="876"/>
      <c r="BK11" s="876"/>
      <c r="BL11" s="877"/>
    </row>
    <row r="12" spans="1:64">
      <c r="A12" s="885"/>
      <c r="B12" s="886"/>
      <c r="C12" s="886"/>
      <c r="D12" s="886"/>
      <c r="E12" s="886"/>
      <c r="F12" s="886"/>
      <c r="G12" s="886"/>
      <c r="H12" s="886"/>
      <c r="I12" s="886"/>
      <c r="J12" s="886"/>
      <c r="K12" s="886"/>
      <c r="L12" s="886"/>
      <c r="M12" s="886"/>
      <c r="N12" s="886"/>
      <c r="O12" s="886"/>
      <c r="P12" s="886"/>
      <c r="Q12" s="886"/>
      <c r="R12" s="886"/>
      <c r="S12" s="886"/>
      <c r="T12" s="886"/>
      <c r="U12" s="886"/>
      <c r="V12" s="886"/>
      <c r="W12" s="886"/>
      <c r="X12" s="886"/>
      <c r="Y12" s="886"/>
      <c r="Z12" s="886"/>
      <c r="AA12" s="886"/>
      <c r="AB12" s="886"/>
      <c r="AC12" s="886"/>
      <c r="AD12" s="886"/>
      <c r="AE12" s="886"/>
      <c r="AF12" s="886"/>
      <c r="AG12" s="887"/>
      <c r="AH12" s="878"/>
      <c r="AI12" s="879"/>
      <c r="AJ12" s="879"/>
      <c r="AK12" s="879"/>
      <c r="AL12" s="879"/>
      <c r="AM12" s="879"/>
      <c r="AN12" s="879"/>
      <c r="AO12" s="879"/>
      <c r="AP12" s="879"/>
      <c r="AQ12" s="879"/>
      <c r="AR12" s="879"/>
      <c r="AS12" s="879"/>
      <c r="AT12" s="879"/>
      <c r="AU12" s="879"/>
      <c r="AV12" s="879"/>
      <c r="AW12" s="879"/>
      <c r="AX12" s="879"/>
      <c r="AY12" s="879"/>
      <c r="AZ12" s="879"/>
      <c r="BA12" s="879"/>
      <c r="BB12" s="879"/>
      <c r="BC12" s="879"/>
      <c r="BD12" s="879"/>
      <c r="BE12" s="879"/>
      <c r="BF12" s="879"/>
      <c r="BG12" s="879"/>
      <c r="BH12" s="879"/>
      <c r="BI12" s="879"/>
      <c r="BJ12" s="879"/>
      <c r="BK12" s="879"/>
      <c r="BL12" s="880"/>
    </row>
    <row r="13" spans="1:64">
      <c r="A13" s="893" t="s">
        <v>15</v>
      </c>
      <c r="B13" s="850"/>
      <c r="C13" s="850"/>
      <c r="D13" s="850"/>
      <c r="E13" s="850"/>
      <c r="F13" s="850"/>
      <c r="G13" s="850"/>
      <c r="H13" s="850"/>
      <c r="I13" s="850"/>
      <c r="J13" s="850"/>
      <c r="K13" s="850"/>
      <c r="L13" s="850"/>
      <c r="M13" s="850"/>
      <c r="N13" s="850"/>
      <c r="O13" s="850"/>
      <c r="P13" s="850"/>
      <c r="Q13" s="850"/>
      <c r="R13" s="850"/>
      <c r="S13" s="850"/>
      <c r="T13" s="850"/>
      <c r="U13" s="850"/>
      <c r="V13" s="850"/>
      <c r="W13" s="850"/>
      <c r="X13" s="850"/>
      <c r="Y13" s="850"/>
      <c r="Z13" s="850"/>
      <c r="AA13" s="850"/>
      <c r="AB13" s="850"/>
      <c r="AC13" s="850"/>
      <c r="AD13" s="850"/>
      <c r="AE13" s="850"/>
      <c r="AF13" s="850"/>
      <c r="AG13" s="850"/>
      <c r="AH13" s="893" t="s">
        <v>16</v>
      </c>
      <c r="AI13" s="850"/>
      <c r="AJ13" s="850"/>
      <c r="AK13" s="850"/>
      <c r="AL13" s="850"/>
      <c r="AM13" s="850"/>
      <c r="AN13" s="850"/>
      <c r="AO13" s="850"/>
      <c r="AP13" s="850"/>
      <c r="AQ13" s="850"/>
      <c r="AR13" s="850"/>
      <c r="AS13" s="850"/>
      <c r="AT13" s="850"/>
      <c r="AU13" s="850"/>
      <c r="AV13" s="850"/>
      <c r="AW13" s="850"/>
      <c r="AX13" s="850"/>
      <c r="AY13" s="850"/>
      <c r="AZ13" s="850"/>
      <c r="BA13" s="850"/>
      <c r="BB13" s="850"/>
      <c r="BC13" s="850"/>
      <c r="BD13" s="850"/>
      <c r="BE13" s="850"/>
      <c r="BF13" s="850"/>
      <c r="BG13" s="850"/>
      <c r="BH13" s="850"/>
      <c r="BI13" s="850"/>
      <c r="BJ13" s="850"/>
      <c r="BK13" s="850"/>
      <c r="BL13" s="851"/>
    </row>
    <row r="14" spans="1:64" ht="6" customHeight="1">
      <c r="A14" s="898"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4"/>
      <c r="AH14" s="848"/>
      <c r="AI14" s="849"/>
      <c r="AJ14" s="849"/>
      <c r="AK14" s="849"/>
      <c r="AL14" s="849"/>
      <c r="AM14" s="849"/>
      <c r="AN14" s="849"/>
      <c r="AO14" s="849"/>
      <c r="AP14" s="849"/>
      <c r="AQ14" s="849"/>
      <c r="AR14" s="849"/>
      <c r="AS14" s="849"/>
      <c r="AT14" s="849"/>
      <c r="AU14" s="849"/>
      <c r="AV14" s="849"/>
      <c r="AW14" s="849"/>
      <c r="AX14" s="849"/>
      <c r="AY14" s="849"/>
      <c r="AZ14" s="849"/>
      <c r="BA14" s="849"/>
      <c r="BB14" s="849"/>
      <c r="BC14" s="849"/>
      <c r="BD14" s="849"/>
      <c r="BE14" s="849"/>
      <c r="BF14" s="849"/>
      <c r="BG14" s="849"/>
      <c r="BH14" s="849"/>
      <c r="BI14" s="849"/>
      <c r="BJ14" s="849"/>
      <c r="BK14" s="849"/>
      <c r="BL14" s="894"/>
    </row>
    <row r="15" spans="1:64">
      <c r="A15" s="899"/>
      <c r="B15" s="900"/>
      <c r="C15" s="900"/>
      <c r="D15" s="900"/>
      <c r="E15" s="900"/>
      <c r="F15" s="900"/>
      <c r="G15" s="900"/>
      <c r="H15" s="900"/>
      <c r="I15" s="900"/>
      <c r="J15" s="900"/>
      <c r="K15" s="900"/>
      <c r="L15" s="900"/>
      <c r="M15" s="900"/>
      <c r="N15" s="900"/>
      <c r="O15" s="900"/>
      <c r="P15" s="900"/>
      <c r="Q15" s="900"/>
      <c r="R15" s="900"/>
      <c r="S15" s="900"/>
      <c r="T15" s="900"/>
      <c r="U15" s="900"/>
      <c r="V15" s="900"/>
      <c r="W15" s="900"/>
      <c r="X15" s="900"/>
      <c r="Y15" s="900"/>
      <c r="Z15" s="900"/>
      <c r="AA15" s="900"/>
      <c r="AB15" s="900"/>
      <c r="AC15" s="900"/>
      <c r="AD15" s="900"/>
      <c r="AE15" s="900"/>
      <c r="AF15" s="900"/>
      <c r="AG15" s="900"/>
      <c r="AH15" s="848"/>
      <c r="AI15" s="849"/>
      <c r="AJ15" s="849"/>
      <c r="AK15" s="849"/>
      <c r="AL15" s="849"/>
      <c r="AM15" s="849"/>
      <c r="AN15" s="849"/>
      <c r="AO15" s="849"/>
      <c r="AP15" s="849"/>
      <c r="AQ15" s="849"/>
      <c r="AR15" s="849"/>
      <c r="AS15" s="849"/>
      <c r="AT15" s="849"/>
      <c r="AU15" s="849"/>
      <c r="AV15" s="849"/>
      <c r="AW15" s="849"/>
      <c r="AX15" s="849"/>
      <c r="AY15" s="849"/>
      <c r="AZ15" s="849"/>
      <c r="BA15" s="849"/>
      <c r="BB15" s="849"/>
      <c r="BC15" s="849"/>
      <c r="BD15" s="849"/>
      <c r="BE15" s="849"/>
      <c r="BF15" s="849"/>
      <c r="BG15" s="849"/>
      <c r="BH15" s="849"/>
      <c r="BI15" s="849"/>
      <c r="BJ15" s="849"/>
      <c r="BK15" s="849"/>
      <c r="BL15" s="894"/>
    </row>
    <row r="16" spans="1:64">
      <c r="A16" s="901" t="s">
        <v>18</v>
      </c>
      <c r="B16" s="902"/>
      <c r="C16" s="902"/>
      <c r="D16" s="902"/>
      <c r="E16" s="902"/>
      <c r="F16" s="902"/>
      <c r="G16" s="902"/>
      <c r="H16" s="902"/>
      <c r="I16" s="902"/>
      <c r="J16" s="902"/>
      <c r="K16" s="902"/>
      <c r="L16" s="902"/>
      <c r="M16" s="902"/>
      <c r="N16" s="902"/>
      <c r="O16" s="902"/>
      <c r="P16" s="903"/>
      <c r="Q16" s="901" t="s">
        <v>19</v>
      </c>
      <c r="R16" s="902"/>
      <c r="S16" s="902"/>
      <c r="T16" s="902"/>
      <c r="U16" s="902"/>
      <c r="V16" s="902"/>
      <c r="W16" s="902"/>
      <c r="X16" s="902"/>
      <c r="Y16" s="902"/>
      <c r="Z16" s="902"/>
      <c r="AA16" s="902"/>
      <c r="AB16" s="902"/>
      <c r="AC16" s="902"/>
      <c r="AD16" s="902"/>
      <c r="AE16" s="902"/>
      <c r="AF16" s="902"/>
      <c r="AG16" s="908"/>
      <c r="AH16" s="848"/>
      <c r="AI16" s="849"/>
      <c r="AJ16" s="849"/>
      <c r="AK16" s="849"/>
      <c r="AL16" s="849"/>
      <c r="AM16" s="849"/>
      <c r="AN16" s="849"/>
      <c r="AO16" s="849"/>
      <c r="AP16" s="849"/>
      <c r="AQ16" s="849"/>
      <c r="AR16" s="849"/>
      <c r="AS16" s="849"/>
      <c r="AT16" s="849"/>
      <c r="AU16" s="849"/>
      <c r="AV16" s="849"/>
      <c r="AW16" s="849"/>
      <c r="AX16" s="849"/>
      <c r="AY16" s="849"/>
      <c r="AZ16" s="849"/>
      <c r="BA16" s="849"/>
      <c r="BB16" s="849"/>
      <c r="BC16" s="849"/>
      <c r="BD16" s="849"/>
      <c r="BE16" s="849"/>
      <c r="BF16" s="849"/>
      <c r="BG16" s="849"/>
      <c r="BH16" s="849"/>
      <c r="BI16" s="849"/>
      <c r="BJ16" s="849"/>
      <c r="BK16" s="849"/>
      <c r="BL16" s="894"/>
    </row>
    <row r="17" spans="1:64">
      <c r="A17" s="904"/>
      <c r="B17" s="905"/>
      <c r="C17" s="905"/>
      <c r="D17" s="905"/>
      <c r="E17" s="905"/>
      <c r="F17" s="905"/>
      <c r="G17" s="905"/>
      <c r="H17" s="905"/>
      <c r="I17" s="905"/>
      <c r="J17" s="905"/>
      <c r="K17" s="905"/>
      <c r="L17" s="905"/>
      <c r="M17" s="905"/>
      <c r="N17" s="905"/>
      <c r="O17" s="905"/>
      <c r="P17" s="906"/>
      <c r="Q17" s="904"/>
      <c r="R17" s="905"/>
      <c r="S17" s="905"/>
      <c r="T17" s="905"/>
      <c r="U17" s="905"/>
      <c r="V17" s="905"/>
      <c r="W17" s="905"/>
      <c r="X17" s="905"/>
      <c r="Y17" s="905"/>
      <c r="Z17" s="905"/>
      <c r="AA17" s="905"/>
      <c r="AB17" s="905"/>
      <c r="AC17" s="905"/>
      <c r="AD17" s="905"/>
      <c r="AE17" s="905"/>
      <c r="AF17" s="905"/>
      <c r="AG17" s="909"/>
      <c r="AH17" s="848"/>
      <c r="AI17" s="849"/>
      <c r="AJ17" s="849"/>
      <c r="AK17" s="849"/>
      <c r="AL17" s="849"/>
      <c r="AM17" s="849"/>
      <c r="AN17" s="849"/>
      <c r="AO17" s="849"/>
      <c r="AP17" s="849"/>
      <c r="AQ17" s="849"/>
      <c r="AR17" s="849"/>
      <c r="AS17" s="849"/>
      <c r="AT17" s="849"/>
      <c r="AU17" s="849"/>
      <c r="AV17" s="849"/>
      <c r="AW17" s="849"/>
      <c r="AX17" s="849"/>
      <c r="AY17" s="849"/>
      <c r="AZ17" s="849"/>
      <c r="BA17" s="849"/>
      <c r="BB17" s="849"/>
      <c r="BC17" s="849"/>
      <c r="BD17" s="849"/>
      <c r="BE17" s="849"/>
      <c r="BF17" s="849"/>
      <c r="BG17" s="849"/>
      <c r="BH17" s="849"/>
      <c r="BI17" s="849"/>
      <c r="BJ17" s="849"/>
      <c r="BK17" s="849"/>
      <c r="BL17" s="894"/>
    </row>
    <row r="18" spans="1:64">
      <c r="A18" s="907" t="s">
        <v>20</v>
      </c>
      <c r="B18" s="849"/>
      <c r="C18" s="849"/>
      <c r="D18" s="849"/>
      <c r="E18" s="849"/>
      <c r="F18" s="849"/>
      <c r="G18" s="849"/>
      <c r="H18" s="849"/>
      <c r="I18" s="849"/>
      <c r="J18" s="849"/>
      <c r="K18" s="849"/>
      <c r="L18" s="849"/>
      <c r="M18" s="849"/>
      <c r="N18" s="849"/>
      <c r="O18" s="849"/>
      <c r="P18" s="849"/>
      <c r="Q18" s="849"/>
      <c r="R18" s="849"/>
      <c r="S18" s="849"/>
      <c r="T18" s="849"/>
      <c r="U18" s="849"/>
      <c r="V18" s="849"/>
      <c r="W18" s="849"/>
      <c r="X18" s="849"/>
      <c r="Y18" s="849"/>
      <c r="Z18" s="849"/>
      <c r="AA18" s="849"/>
      <c r="AB18" s="849"/>
      <c r="AC18" s="849"/>
      <c r="AD18" s="849"/>
      <c r="AE18" s="849"/>
      <c r="AF18" s="849"/>
      <c r="AG18" s="849"/>
      <c r="AH18" s="848"/>
      <c r="AI18" s="849"/>
      <c r="AJ18" s="849"/>
      <c r="AK18" s="849"/>
      <c r="AL18" s="849"/>
      <c r="AM18" s="849"/>
      <c r="AN18" s="849"/>
      <c r="AO18" s="849"/>
      <c r="AP18" s="849"/>
      <c r="AQ18" s="849"/>
      <c r="AR18" s="849"/>
      <c r="AS18" s="849"/>
      <c r="AT18" s="849"/>
      <c r="AU18" s="849"/>
      <c r="AV18" s="849"/>
      <c r="AW18" s="849"/>
      <c r="AX18" s="849"/>
      <c r="AY18" s="849"/>
      <c r="AZ18" s="849"/>
      <c r="BA18" s="849"/>
      <c r="BB18" s="849"/>
      <c r="BC18" s="849"/>
      <c r="BD18" s="849"/>
      <c r="BE18" s="849"/>
      <c r="BF18" s="849"/>
      <c r="BG18" s="849"/>
      <c r="BH18" s="849"/>
      <c r="BI18" s="849"/>
      <c r="BJ18" s="849"/>
      <c r="BK18" s="849"/>
      <c r="BL18" s="894"/>
    </row>
    <row r="19" spans="1:64">
      <c r="A19" s="433" t="str">
        <f>'1'!A19</f>
        <v>SOEKARNO-HATTA INTERNATIONAL AIRPORT</v>
      </c>
      <c r="B19" s="434"/>
      <c r="C19" s="434"/>
      <c r="D19" s="437"/>
      <c r="E19" s="437"/>
      <c r="F19" s="437"/>
      <c r="G19" s="437"/>
      <c r="H19" s="437"/>
      <c r="I19" s="437"/>
      <c r="J19" s="437"/>
      <c r="K19" s="437"/>
      <c r="L19" s="437"/>
      <c r="M19" s="437"/>
      <c r="N19" s="437"/>
      <c r="O19" s="437"/>
      <c r="P19" s="437"/>
      <c r="Q19" s="437"/>
      <c r="R19" s="437"/>
      <c r="S19" s="437"/>
      <c r="T19" s="437"/>
      <c r="U19" s="437"/>
      <c r="V19" s="434"/>
      <c r="W19" s="434"/>
      <c r="X19" s="434"/>
      <c r="Y19" s="434"/>
      <c r="Z19" s="434"/>
      <c r="AA19" s="434"/>
      <c r="AB19" s="434"/>
      <c r="AC19" s="434"/>
      <c r="AD19" s="434"/>
      <c r="AE19" s="434"/>
      <c r="AF19" s="434"/>
      <c r="AG19" s="434"/>
      <c r="AH19" s="895"/>
      <c r="AI19" s="896"/>
      <c r="AJ19" s="896"/>
      <c r="AK19" s="896"/>
      <c r="AL19" s="896"/>
      <c r="AM19" s="896"/>
      <c r="AN19" s="896"/>
      <c r="AO19" s="896"/>
      <c r="AP19" s="896"/>
      <c r="AQ19" s="896"/>
      <c r="AR19" s="896"/>
      <c r="AS19" s="896"/>
      <c r="AT19" s="896"/>
      <c r="AU19" s="896"/>
      <c r="AV19" s="896"/>
      <c r="AW19" s="896"/>
      <c r="AX19" s="896"/>
      <c r="AY19" s="896"/>
      <c r="AZ19" s="896"/>
      <c r="BA19" s="896"/>
      <c r="BB19" s="896"/>
      <c r="BC19" s="896"/>
      <c r="BD19" s="896"/>
      <c r="BE19" s="896"/>
      <c r="BF19" s="896"/>
      <c r="BG19" s="896"/>
      <c r="BH19" s="896"/>
      <c r="BI19" s="896"/>
      <c r="BJ19" s="896"/>
      <c r="BK19" s="896"/>
      <c r="BL19" s="897"/>
    </row>
    <row r="20" spans="1:64" ht="15" customHeight="1">
      <c r="A20" s="910" t="str">
        <f>'1'!A20</f>
        <v>SIN</v>
      </c>
      <c r="B20" s="911"/>
      <c r="C20" s="912"/>
      <c r="D20" s="724" t="s">
        <v>23</v>
      </c>
      <c r="E20" s="724"/>
      <c r="F20" s="724"/>
      <c r="G20" s="724"/>
      <c r="H20" s="724"/>
      <c r="I20" s="724"/>
      <c r="J20" s="724"/>
      <c r="K20" s="724"/>
      <c r="L20" s="724"/>
      <c r="M20" s="724"/>
      <c r="N20" s="724"/>
      <c r="O20" s="724"/>
      <c r="P20" s="724"/>
      <c r="Q20" s="724"/>
      <c r="R20" s="724"/>
      <c r="S20" s="724"/>
      <c r="T20" s="724"/>
      <c r="U20" s="724"/>
      <c r="V20" s="901" t="s">
        <v>26</v>
      </c>
      <c r="W20" s="902"/>
      <c r="X20" s="903"/>
      <c r="Y20" s="901" t="s">
        <v>27</v>
      </c>
      <c r="Z20" s="902"/>
      <c r="AA20" s="903"/>
      <c r="AB20" s="901" t="s">
        <v>26</v>
      </c>
      <c r="AC20" s="902"/>
      <c r="AD20" s="903"/>
      <c r="AE20" s="901" t="s">
        <v>27</v>
      </c>
      <c r="AF20" s="902"/>
      <c r="AG20" s="903"/>
      <c r="AH20" s="725" t="s">
        <v>28</v>
      </c>
      <c r="AI20" s="726"/>
      <c r="AJ20" s="726"/>
      <c r="AK20" s="727"/>
      <c r="AL20" s="731" t="s">
        <v>29</v>
      </c>
      <c r="AM20" s="732"/>
      <c r="AN20" s="728" t="s">
        <v>30</v>
      </c>
      <c r="AO20" s="729"/>
      <c r="AP20" s="729"/>
      <c r="AQ20" s="730"/>
      <c r="AR20" s="728" t="s">
        <v>31</v>
      </c>
      <c r="AS20" s="729"/>
      <c r="AT20" s="729"/>
      <c r="AU20" s="730"/>
      <c r="AV20" s="712" t="s">
        <v>32</v>
      </c>
      <c r="AW20" s="713"/>
      <c r="AX20" s="713"/>
      <c r="AY20" s="713"/>
      <c r="AZ20" s="713"/>
      <c r="BA20" s="713"/>
      <c r="BB20" s="713"/>
      <c r="BC20" s="713"/>
      <c r="BD20" s="714"/>
      <c r="BE20" s="712" t="s">
        <v>33</v>
      </c>
      <c r="BF20" s="713"/>
      <c r="BG20" s="713"/>
      <c r="BH20" s="713"/>
      <c r="BI20" s="713"/>
      <c r="BJ20" s="713"/>
      <c r="BK20" s="713"/>
      <c r="BL20" s="714"/>
    </row>
    <row r="21" spans="1:64">
      <c r="A21" s="913"/>
      <c r="B21" s="414"/>
      <c r="C21" s="914"/>
      <c r="D21" s="283" t="str">
        <f>'1'!D21</f>
        <v>GARUDA INDONESIA</v>
      </c>
      <c r="E21" s="283"/>
      <c r="F21" s="283"/>
      <c r="G21" s="283"/>
      <c r="H21" s="283"/>
      <c r="I21" s="283"/>
      <c r="J21" s="283"/>
      <c r="K21" s="283"/>
      <c r="L21" s="283"/>
      <c r="M21" s="283"/>
      <c r="N21" s="283"/>
      <c r="O21" s="283"/>
      <c r="P21" s="283"/>
      <c r="Q21" s="283"/>
      <c r="R21" s="283"/>
      <c r="S21" s="283"/>
      <c r="T21" s="283"/>
      <c r="U21" s="283"/>
      <c r="V21" s="915"/>
      <c r="W21" s="916"/>
      <c r="X21" s="917"/>
      <c r="Y21" s="915"/>
      <c r="Z21" s="905"/>
      <c r="AA21" s="906"/>
      <c r="AB21" s="904"/>
      <c r="AC21" s="905"/>
      <c r="AD21" s="906"/>
      <c r="AE21" s="904"/>
      <c r="AF21" s="905"/>
      <c r="AG21" s="906"/>
      <c r="AH21" s="715" t="str">
        <f>'1'!AH21</f>
        <v>IDR</v>
      </c>
      <c r="AI21" s="716"/>
      <c r="AJ21" s="716"/>
      <c r="AK21" s="717"/>
      <c r="AL21" s="733"/>
      <c r="AM21" s="734"/>
      <c r="AN21" s="718" t="s">
        <v>35</v>
      </c>
      <c r="AO21" s="719"/>
      <c r="AP21" s="718" t="s">
        <v>36</v>
      </c>
      <c r="AQ21" s="719"/>
      <c r="AR21" s="718" t="s">
        <v>35</v>
      </c>
      <c r="AS21" s="719"/>
      <c r="AT21" s="720" t="s">
        <v>36</v>
      </c>
      <c r="AU21" s="719"/>
      <c r="AV21" s="721" t="str">
        <f>'1'!AV21</f>
        <v>NVD</v>
      </c>
      <c r="AW21" s="722"/>
      <c r="AX21" s="722"/>
      <c r="AY21" s="722"/>
      <c r="AZ21" s="722"/>
      <c r="BA21" s="722"/>
      <c r="BB21" s="722"/>
      <c r="BC21" s="722"/>
      <c r="BD21" s="723"/>
      <c r="BE21" s="721" t="str">
        <f>'1'!BE21</f>
        <v>NCV</v>
      </c>
      <c r="BF21" s="722"/>
      <c r="BG21" s="722"/>
      <c r="BH21" s="722"/>
      <c r="BI21" s="722"/>
      <c r="BJ21" s="722"/>
      <c r="BK21" s="722"/>
      <c r="BL21" s="723"/>
    </row>
    <row r="22" spans="1:64">
      <c r="A22" s="839" t="s">
        <v>39</v>
      </c>
      <c r="B22" s="840"/>
      <c r="C22" s="840"/>
      <c r="D22" s="840"/>
      <c r="E22" s="840"/>
      <c r="F22" s="840"/>
      <c r="G22" s="840"/>
      <c r="H22" s="840"/>
      <c r="I22" s="840"/>
      <c r="J22" s="840"/>
      <c r="K22" s="840"/>
      <c r="L22" s="840"/>
      <c r="M22" s="840"/>
      <c r="N22" s="840"/>
      <c r="O22" s="840"/>
      <c r="P22" s="840"/>
      <c r="Q22" s="841"/>
      <c r="R22" s="741" t="s">
        <v>40</v>
      </c>
      <c r="S22" s="741"/>
      <c r="T22" s="741"/>
      <c r="U22" s="741"/>
      <c r="V22" s="170"/>
      <c r="W22" s="170"/>
      <c r="X22" s="170"/>
      <c r="Y22" s="171"/>
      <c r="Z22" s="172"/>
      <c r="AA22" s="170"/>
      <c r="AB22" s="170"/>
      <c r="AC22" s="170"/>
      <c r="AD22" s="741" t="s">
        <v>40</v>
      </c>
      <c r="AE22" s="741"/>
      <c r="AF22" s="741"/>
      <c r="AG22" s="742"/>
      <c r="AH22" s="725" t="s">
        <v>41</v>
      </c>
      <c r="AI22" s="726"/>
      <c r="AJ22" s="726"/>
      <c r="AK22" s="726"/>
      <c r="AL22" s="726"/>
      <c r="AM22" s="726"/>
      <c r="AN22" s="726"/>
      <c r="AO22" s="726"/>
      <c r="AP22" s="726"/>
      <c r="AQ22" s="727"/>
      <c r="AR22" s="833" t="s">
        <v>42</v>
      </c>
      <c r="AS22" s="834"/>
      <c r="AT22" s="834"/>
      <c r="AU22" s="834"/>
      <c r="AV22" s="834"/>
      <c r="AW22" s="834"/>
      <c r="AX22" s="834"/>
      <c r="AY22" s="834"/>
      <c r="AZ22" s="834"/>
      <c r="BA22" s="834"/>
      <c r="BB22" s="834"/>
      <c r="BC22" s="834"/>
      <c r="BD22" s="834"/>
      <c r="BE22" s="834"/>
      <c r="BF22" s="834"/>
      <c r="BG22" s="834"/>
      <c r="BH22" s="834"/>
      <c r="BI22" s="834"/>
      <c r="BJ22" s="834"/>
      <c r="BK22" s="834"/>
      <c r="BL22" s="835"/>
    </row>
    <row r="23" spans="1:64">
      <c r="A23" s="743" t="str">
        <f>'1'!A23</f>
        <v>SINGAPORE</v>
      </c>
      <c r="B23" s="744"/>
      <c r="C23" s="744"/>
      <c r="D23" s="744"/>
      <c r="E23" s="744"/>
      <c r="F23" s="744"/>
      <c r="G23" s="744"/>
      <c r="H23" s="744"/>
      <c r="I23" s="744"/>
      <c r="J23" s="744"/>
      <c r="K23" s="744"/>
      <c r="L23" s="744"/>
      <c r="M23" s="744"/>
      <c r="N23" s="744"/>
      <c r="O23" s="744"/>
      <c r="P23" s="744"/>
      <c r="Q23" s="745"/>
      <c r="R23" s="173" t="str">
        <f>'1'!R23</f>
        <v>GA 824</v>
      </c>
      <c r="S23" s="174"/>
      <c r="T23" s="174"/>
      <c r="U23" s="174"/>
      <c r="V23" s="174"/>
      <c r="W23" s="174"/>
      <c r="X23" s="174"/>
      <c r="Y23" s="175"/>
      <c r="Z23" s="746">
        <f>'1'!Z23</f>
        <v>46171</v>
      </c>
      <c r="AA23" s="747"/>
      <c r="AB23" s="747"/>
      <c r="AC23" s="747"/>
      <c r="AD23" s="747"/>
      <c r="AE23" s="747"/>
      <c r="AF23" s="747"/>
      <c r="AG23" s="748"/>
      <c r="AH23" s="749" t="s">
        <v>45</v>
      </c>
      <c r="AI23" s="750"/>
      <c r="AJ23" s="750"/>
      <c r="AK23" s="750"/>
      <c r="AL23" s="750"/>
      <c r="AM23" s="750"/>
      <c r="AN23" s="750"/>
      <c r="AO23" s="750"/>
      <c r="AP23" s="750"/>
      <c r="AQ23" s="751"/>
      <c r="AR23" s="836"/>
      <c r="AS23" s="837"/>
      <c r="AT23" s="837"/>
      <c r="AU23" s="837"/>
      <c r="AV23" s="837"/>
      <c r="AW23" s="837"/>
      <c r="AX23" s="837"/>
      <c r="AY23" s="837"/>
      <c r="AZ23" s="837"/>
      <c r="BA23" s="837"/>
      <c r="BB23" s="837"/>
      <c r="BC23" s="837"/>
      <c r="BD23" s="837"/>
      <c r="BE23" s="837"/>
      <c r="BF23" s="837"/>
      <c r="BG23" s="837"/>
      <c r="BH23" s="837"/>
      <c r="BI23" s="837"/>
      <c r="BJ23" s="837"/>
      <c r="BK23" s="837"/>
      <c r="BL23" s="838"/>
    </row>
    <row r="24" spans="1:64">
      <c r="A24" s="848" t="s">
        <v>46</v>
      </c>
      <c r="B24" s="849"/>
      <c r="C24" s="849"/>
      <c r="D24" s="849"/>
      <c r="E24" s="849"/>
      <c r="F24" s="849"/>
      <c r="G24" s="849"/>
      <c r="H24" s="849"/>
      <c r="I24" s="849"/>
      <c r="J24" s="849"/>
      <c r="K24" s="849"/>
      <c r="L24" s="849"/>
      <c r="M24" s="849"/>
      <c r="N24" s="849"/>
      <c r="O24" s="849"/>
      <c r="P24" s="849"/>
      <c r="Q24" s="849"/>
      <c r="R24" s="850"/>
      <c r="S24" s="850"/>
      <c r="T24" s="850"/>
      <c r="U24" s="850"/>
      <c r="V24" s="850"/>
      <c r="W24" s="850"/>
      <c r="X24" s="850"/>
      <c r="Y24" s="850"/>
      <c r="Z24" s="850"/>
      <c r="AA24" s="850"/>
      <c r="AB24" s="850"/>
      <c r="AC24" s="850"/>
      <c r="AD24" s="850"/>
      <c r="AE24" s="850"/>
      <c r="AF24" s="850"/>
      <c r="AG24" s="850"/>
      <c r="AH24" s="850"/>
      <c r="AI24" s="850"/>
      <c r="AJ24" s="850"/>
      <c r="AK24" s="850"/>
      <c r="AL24" s="850"/>
      <c r="AM24" s="850"/>
      <c r="AN24" s="850"/>
      <c r="AO24" s="850"/>
      <c r="AP24" s="850"/>
      <c r="AQ24" s="850"/>
      <c r="AR24" s="850"/>
      <c r="AS24" s="850"/>
      <c r="AT24" s="850"/>
      <c r="AU24" s="850"/>
      <c r="AV24" s="850"/>
      <c r="AW24" s="850"/>
      <c r="AX24" s="850"/>
      <c r="AY24" s="850"/>
      <c r="AZ24" s="850"/>
      <c r="BA24" s="850"/>
      <c r="BB24" s="850"/>
      <c r="BC24" s="850"/>
      <c r="BD24" s="850"/>
      <c r="BE24" s="850"/>
      <c r="BF24" s="850"/>
      <c r="BG24" s="850"/>
      <c r="BH24" s="850"/>
      <c r="BI24" s="850"/>
      <c r="BJ24" s="850"/>
      <c r="BK24" s="850"/>
      <c r="BL24" s="851"/>
    </row>
    <row r="25" spans="1:64">
      <c r="A25" s="847"/>
      <c r="B25" s="340"/>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846"/>
    </row>
    <row r="26" spans="1:64">
      <c r="A26" s="852"/>
      <c r="B26" s="853"/>
      <c r="C26" s="853"/>
      <c r="D26" s="853"/>
      <c r="E26" s="853"/>
      <c r="F26" s="853"/>
      <c r="G26" s="853"/>
      <c r="H26" s="853"/>
      <c r="I26" s="853"/>
      <c r="J26" s="853"/>
      <c r="K26" s="853"/>
      <c r="L26" s="853"/>
      <c r="M26" s="853"/>
      <c r="N26" s="853"/>
      <c r="O26" s="853"/>
      <c r="P26" s="853"/>
      <c r="Q26" s="853"/>
      <c r="R26" s="853"/>
      <c r="S26" s="853"/>
      <c r="T26" s="853"/>
      <c r="U26" s="853"/>
      <c r="V26" s="853"/>
      <c r="W26" s="853"/>
      <c r="X26" s="853"/>
      <c r="Y26" s="853"/>
      <c r="Z26" s="853"/>
      <c r="AA26" s="853"/>
      <c r="AB26" s="853"/>
      <c r="AC26" s="853"/>
      <c r="AD26" s="853"/>
      <c r="AE26" s="853"/>
      <c r="AF26" s="853"/>
      <c r="AG26" s="853"/>
      <c r="AH26" s="853"/>
      <c r="AI26" s="853"/>
      <c r="AJ26" s="853"/>
      <c r="AK26" s="853"/>
      <c r="AL26" s="853"/>
      <c r="AM26" s="853"/>
      <c r="AN26" s="853"/>
      <c r="AO26" s="853"/>
      <c r="AP26" s="853"/>
      <c r="AQ26" s="853"/>
      <c r="AR26" s="853"/>
      <c r="AS26" s="853"/>
      <c r="AT26" s="853"/>
      <c r="AU26" s="853"/>
      <c r="AV26" s="853"/>
      <c r="AW26" s="853"/>
      <c r="AX26" s="853"/>
      <c r="AY26" s="853"/>
      <c r="AZ26" s="853"/>
      <c r="BA26" s="853"/>
      <c r="BB26" s="853"/>
      <c r="BC26" s="853"/>
      <c r="BD26" s="853"/>
      <c r="BE26" s="853"/>
      <c r="BF26" s="853"/>
      <c r="BG26" s="853"/>
      <c r="BH26" s="853"/>
      <c r="BI26" s="853"/>
      <c r="BJ26" s="853"/>
      <c r="BK26" s="853"/>
      <c r="BL26" s="854"/>
    </row>
    <row r="27" spans="1:64" ht="15.75">
      <c r="A27" s="735" t="s">
        <v>47</v>
      </c>
      <c r="B27" s="736"/>
      <c r="C27" s="737"/>
      <c r="D27" s="735" t="s">
        <v>48</v>
      </c>
      <c r="E27" s="736"/>
      <c r="F27" s="736"/>
      <c r="G27" s="736"/>
      <c r="H27" s="736"/>
      <c r="I27" s="737"/>
      <c r="J27" s="803" t="s">
        <v>49</v>
      </c>
      <c r="K27" s="807"/>
      <c r="L27" s="855" t="s">
        <v>50</v>
      </c>
      <c r="M27" s="856"/>
      <c r="N27" s="856"/>
      <c r="O27" s="856"/>
      <c r="P27" s="856"/>
      <c r="Q27" s="857"/>
      <c r="R27" s="807"/>
      <c r="S27" s="762" t="s">
        <v>51</v>
      </c>
      <c r="T27" s="763"/>
      <c r="U27" s="763"/>
      <c r="V27" s="763"/>
      <c r="W27" s="763"/>
      <c r="X27" s="763"/>
      <c r="Y27" s="764"/>
      <c r="Z27" s="807"/>
      <c r="AA27" s="176" t="s">
        <v>52</v>
      </c>
      <c r="AB27" s="177"/>
      <c r="AC27" s="177"/>
      <c r="AD27" s="177"/>
      <c r="AE27" s="177"/>
      <c r="AF27" s="177"/>
      <c r="AG27" s="178"/>
      <c r="AH27" s="807"/>
      <c r="AI27" s="762" t="s">
        <v>53</v>
      </c>
      <c r="AJ27" s="763"/>
      <c r="AK27" s="763"/>
      <c r="AL27" s="763"/>
      <c r="AM27" s="763"/>
      <c r="AN27" s="763"/>
      <c r="AO27" s="763"/>
      <c r="AP27" s="763"/>
      <c r="AQ27" s="764"/>
      <c r="AR27" s="807"/>
      <c r="AS27" s="735" t="s">
        <v>54</v>
      </c>
      <c r="AT27" s="763"/>
      <c r="AU27" s="763"/>
      <c r="AV27" s="763"/>
      <c r="AW27" s="763"/>
      <c r="AX27" s="763"/>
      <c r="AY27" s="763"/>
      <c r="AZ27" s="763"/>
      <c r="BA27" s="763"/>
      <c r="BB27" s="763"/>
      <c r="BC27" s="763"/>
      <c r="BD27" s="763"/>
      <c r="BE27" s="763"/>
      <c r="BF27" s="763"/>
      <c r="BG27" s="763"/>
      <c r="BH27" s="763"/>
      <c r="BI27" s="763"/>
      <c r="BJ27" s="763"/>
      <c r="BK27" s="763"/>
      <c r="BL27" s="764"/>
    </row>
    <row r="28" spans="1:64" ht="21" customHeight="1">
      <c r="A28" s="738"/>
      <c r="B28" s="739"/>
      <c r="C28" s="740"/>
      <c r="D28" s="738"/>
      <c r="E28" s="739"/>
      <c r="F28" s="739"/>
      <c r="G28" s="739"/>
      <c r="H28" s="739"/>
      <c r="I28" s="740"/>
      <c r="J28" s="804"/>
      <c r="K28" s="807"/>
      <c r="L28" s="260"/>
      <c r="M28" s="858" t="s">
        <v>55</v>
      </c>
      <c r="N28" s="859"/>
      <c r="O28" s="859"/>
      <c r="P28" s="859"/>
      <c r="Q28" s="860"/>
      <c r="R28" s="807"/>
      <c r="S28" s="765"/>
      <c r="T28" s="766"/>
      <c r="U28" s="766"/>
      <c r="V28" s="766"/>
      <c r="W28" s="766"/>
      <c r="X28" s="766"/>
      <c r="Y28" s="767"/>
      <c r="Z28" s="807"/>
      <c r="AA28" s="179"/>
      <c r="AB28" s="180"/>
      <c r="AC28" s="180"/>
      <c r="AD28" s="180"/>
      <c r="AE28" s="181" t="s">
        <v>56</v>
      </c>
      <c r="AF28" s="180"/>
      <c r="AG28" s="182"/>
      <c r="AH28" s="807"/>
      <c r="AI28" s="765"/>
      <c r="AJ28" s="766"/>
      <c r="AK28" s="766"/>
      <c r="AL28" s="766"/>
      <c r="AM28" s="766"/>
      <c r="AN28" s="766"/>
      <c r="AO28" s="766"/>
      <c r="AP28" s="766"/>
      <c r="AQ28" s="767"/>
      <c r="AR28" s="807"/>
      <c r="AS28" s="765"/>
      <c r="AT28" s="766"/>
      <c r="AU28" s="766"/>
      <c r="AV28" s="766"/>
      <c r="AW28" s="766"/>
      <c r="AX28" s="766"/>
      <c r="AY28" s="766"/>
      <c r="AZ28" s="766"/>
      <c r="BA28" s="766"/>
      <c r="BB28" s="766"/>
      <c r="BC28" s="766"/>
      <c r="BD28" s="766"/>
      <c r="BE28" s="766"/>
      <c r="BF28" s="766"/>
      <c r="BG28" s="766"/>
      <c r="BH28" s="766"/>
      <c r="BI28" s="766"/>
      <c r="BJ28" s="766"/>
      <c r="BK28" s="766"/>
      <c r="BL28" s="767"/>
    </row>
    <row r="29" spans="1:64">
      <c r="A29" s="861">
        <f>'1'!A29</f>
        <v>23</v>
      </c>
      <c r="B29" s="862"/>
      <c r="C29" s="863"/>
      <c r="D29" s="757">
        <f>'1'!D29</f>
        <v>398</v>
      </c>
      <c r="E29" s="758"/>
      <c r="F29" s="758"/>
      <c r="G29" s="758"/>
      <c r="H29" s="758"/>
      <c r="I29" s="759"/>
      <c r="J29" s="805" t="s">
        <v>57</v>
      </c>
      <c r="K29" s="807"/>
      <c r="L29" s="805" t="s">
        <v>58</v>
      </c>
      <c r="M29" s="752"/>
      <c r="N29" s="753"/>
      <c r="O29" s="753"/>
      <c r="P29" s="753"/>
      <c r="Q29" s="754"/>
      <c r="R29" s="807"/>
      <c r="S29" s="757">
        <f>'1'!S29</f>
        <v>398</v>
      </c>
      <c r="T29" s="758"/>
      <c r="U29" s="758"/>
      <c r="V29" s="758"/>
      <c r="W29" s="758"/>
      <c r="X29" s="758"/>
      <c r="Y29" s="759"/>
      <c r="Z29" s="807"/>
      <c r="AA29" s="757">
        <f>'1'!AA29</f>
        <v>16800</v>
      </c>
      <c r="AB29" s="758"/>
      <c r="AC29" s="758"/>
      <c r="AD29" s="758"/>
      <c r="AE29" s="758"/>
      <c r="AF29" s="758"/>
      <c r="AG29" s="759"/>
      <c r="AH29" s="807"/>
      <c r="AI29" s="768">
        <f>'1'!AI29</f>
        <v>6686400</v>
      </c>
      <c r="AJ29" s="769"/>
      <c r="AK29" s="769"/>
      <c r="AL29" s="769"/>
      <c r="AM29" s="769"/>
      <c r="AN29" s="769"/>
      <c r="AO29" s="769"/>
      <c r="AP29" s="769"/>
      <c r="AQ29" s="770"/>
      <c r="AR29" s="807"/>
      <c r="AS29" s="842">
        <f>'1'!AS29</f>
        <v>0</v>
      </c>
      <c r="AT29" s="843"/>
      <c r="AU29" s="843"/>
      <c r="AV29" s="843"/>
      <c r="AW29" s="843"/>
      <c r="AX29" s="843"/>
      <c r="AY29" s="843"/>
      <c r="AZ29" s="843"/>
      <c r="BA29" s="843"/>
      <c r="BB29" s="843"/>
      <c r="BC29" s="843"/>
      <c r="BD29" s="843"/>
      <c r="BE29" s="843"/>
      <c r="BF29" s="843"/>
      <c r="BG29" s="843"/>
      <c r="BH29" s="843"/>
      <c r="BI29" s="843"/>
      <c r="BJ29" s="843"/>
      <c r="BK29" s="843"/>
      <c r="BL29" s="844"/>
    </row>
    <row r="30" spans="1:64">
      <c r="A30" s="864"/>
      <c r="B30" s="308"/>
      <c r="C30" s="865"/>
      <c r="D30" s="760"/>
      <c r="E30" s="318"/>
      <c r="F30" s="318"/>
      <c r="G30" s="318"/>
      <c r="H30" s="318"/>
      <c r="I30" s="761"/>
      <c r="J30" s="806"/>
      <c r="K30" s="807"/>
      <c r="L30" s="806"/>
      <c r="M30" s="755"/>
      <c r="N30" s="325"/>
      <c r="O30" s="325"/>
      <c r="P30" s="325"/>
      <c r="Q30" s="756"/>
      <c r="R30" s="807"/>
      <c r="S30" s="760"/>
      <c r="T30" s="318"/>
      <c r="U30" s="318"/>
      <c r="V30" s="318"/>
      <c r="W30" s="318"/>
      <c r="X30" s="318"/>
      <c r="Y30" s="761"/>
      <c r="Z30" s="807"/>
      <c r="AA30" s="760"/>
      <c r="AB30" s="318"/>
      <c r="AC30" s="318"/>
      <c r="AD30" s="318"/>
      <c r="AE30" s="318"/>
      <c r="AF30" s="318"/>
      <c r="AG30" s="761"/>
      <c r="AH30" s="807"/>
      <c r="AI30" s="771"/>
      <c r="AJ30" s="346"/>
      <c r="AK30" s="346"/>
      <c r="AL30" s="346"/>
      <c r="AM30" s="346"/>
      <c r="AN30" s="346"/>
      <c r="AO30" s="346"/>
      <c r="AP30" s="346"/>
      <c r="AQ30" s="772"/>
      <c r="AR30" s="807"/>
      <c r="AS30" s="845"/>
      <c r="AT30" s="340"/>
      <c r="AU30" s="340"/>
      <c r="AV30" s="340"/>
      <c r="AW30" s="340"/>
      <c r="AX30" s="340"/>
      <c r="AY30" s="340"/>
      <c r="AZ30" s="340"/>
      <c r="BA30" s="340"/>
      <c r="BB30" s="340"/>
      <c r="BC30" s="340"/>
      <c r="BD30" s="340"/>
      <c r="BE30" s="340"/>
      <c r="BF30" s="340"/>
      <c r="BG30" s="340"/>
      <c r="BH30" s="340"/>
      <c r="BI30" s="340"/>
      <c r="BJ30" s="340"/>
      <c r="BK30" s="340"/>
      <c r="BL30" s="846"/>
    </row>
    <row r="31" spans="1:64">
      <c r="A31" s="864"/>
      <c r="B31" s="308"/>
      <c r="C31" s="865"/>
      <c r="D31" s="760"/>
      <c r="E31" s="318"/>
      <c r="F31" s="318"/>
      <c r="G31" s="318"/>
      <c r="H31" s="318"/>
      <c r="I31" s="761"/>
      <c r="J31" s="806"/>
      <c r="K31" s="807"/>
      <c r="L31" s="806"/>
      <c r="M31" s="755"/>
      <c r="N31" s="325"/>
      <c r="O31" s="325"/>
      <c r="P31" s="325"/>
      <c r="Q31" s="756"/>
      <c r="R31" s="807"/>
      <c r="S31" s="760"/>
      <c r="T31" s="318"/>
      <c r="U31" s="318"/>
      <c r="V31" s="318"/>
      <c r="W31" s="318"/>
      <c r="X31" s="318"/>
      <c r="Y31" s="761"/>
      <c r="Z31" s="807"/>
      <c r="AA31" s="760"/>
      <c r="AB31" s="318"/>
      <c r="AC31" s="318"/>
      <c r="AD31" s="318"/>
      <c r="AE31" s="318"/>
      <c r="AF31" s="318"/>
      <c r="AG31" s="761"/>
      <c r="AH31" s="807"/>
      <c r="AI31" s="771"/>
      <c r="AJ31" s="346"/>
      <c r="AK31" s="346"/>
      <c r="AL31" s="346"/>
      <c r="AM31" s="346"/>
      <c r="AN31" s="346"/>
      <c r="AO31" s="346"/>
      <c r="AP31" s="346"/>
      <c r="AQ31" s="772"/>
      <c r="AR31" s="807"/>
      <c r="AS31" s="845"/>
      <c r="AT31" s="340"/>
      <c r="AU31" s="340"/>
      <c r="AV31" s="340"/>
      <c r="AW31" s="340"/>
      <c r="AX31" s="340"/>
      <c r="AY31" s="340"/>
      <c r="AZ31" s="340"/>
      <c r="BA31" s="340"/>
      <c r="BB31" s="340"/>
      <c r="BC31" s="340"/>
      <c r="BD31" s="340"/>
      <c r="BE31" s="340"/>
      <c r="BF31" s="340"/>
      <c r="BG31" s="340"/>
      <c r="BH31" s="340"/>
      <c r="BI31" s="340"/>
      <c r="BJ31" s="340"/>
      <c r="BK31" s="340"/>
      <c r="BL31" s="846"/>
    </row>
    <row r="32" spans="1:64">
      <c r="A32" s="864"/>
      <c r="B32" s="308"/>
      <c r="C32" s="865"/>
      <c r="D32" s="760"/>
      <c r="E32" s="318"/>
      <c r="F32" s="318"/>
      <c r="G32" s="318"/>
      <c r="H32" s="318"/>
      <c r="I32" s="761"/>
      <c r="J32" s="806"/>
      <c r="K32" s="807"/>
      <c r="L32" s="806"/>
      <c r="M32" s="755"/>
      <c r="N32" s="325"/>
      <c r="O32" s="325"/>
      <c r="P32" s="325"/>
      <c r="Q32" s="756"/>
      <c r="R32" s="807"/>
      <c r="S32" s="760"/>
      <c r="T32" s="318"/>
      <c r="U32" s="318"/>
      <c r="V32" s="318"/>
      <c r="W32" s="318"/>
      <c r="X32" s="318"/>
      <c r="Y32" s="761"/>
      <c r="Z32" s="807"/>
      <c r="AA32" s="760"/>
      <c r="AB32" s="318"/>
      <c r="AC32" s="318"/>
      <c r="AD32" s="318"/>
      <c r="AE32" s="318"/>
      <c r="AF32" s="318"/>
      <c r="AG32" s="761"/>
      <c r="AH32" s="807"/>
      <c r="AI32" s="771"/>
      <c r="AJ32" s="346"/>
      <c r="AK32" s="346"/>
      <c r="AL32" s="346"/>
      <c r="AM32" s="346"/>
      <c r="AN32" s="346"/>
      <c r="AO32" s="346"/>
      <c r="AP32" s="346"/>
      <c r="AQ32" s="772"/>
      <c r="AR32" s="807"/>
      <c r="AS32" s="847"/>
      <c r="AT32" s="340"/>
      <c r="AU32" s="340"/>
      <c r="AV32" s="340"/>
      <c r="AW32" s="340"/>
      <c r="AX32" s="340"/>
      <c r="AY32" s="340"/>
      <c r="AZ32" s="340"/>
      <c r="BA32" s="340"/>
      <c r="BB32" s="340"/>
      <c r="BC32" s="340"/>
      <c r="BD32" s="340"/>
      <c r="BE32" s="340"/>
      <c r="BF32" s="340"/>
      <c r="BG32" s="340"/>
      <c r="BH32" s="340"/>
      <c r="BI32" s="340"/>
      <c r="BJ32" s="340"/>
      <c r="BK32" s="340"/>
      <c r="BL32" s="846"/>
    </row>
    <row r="33" spans="1:64">
      <c r="A33" s="864"/>
      <c r="B33" s="308"/>
      <c r="C33" s="865"/>
      <c r="D33" s="760"/>
      <c r="E33" s="318"/>
      <c r="F33" s="318"/>
      <c r="G33" s="318"/>
      <c r="H33" s="318"/>
      <c r="I33" s="761"/>
      <c r="J33" s="806"/>
      <c r="K33" s="807"/>
      <c r="L33" s="806"/>
      <c r="M33" s="755"/>
      <c r="N33" s="325"/>
      <c r="O33" s="325"/>
      <c r="P33" s="325"/>
      <c r="Q33" s="756"/>
      <c r="R33" s="807"/>
      <c r="S33" s="760"/>
      <c r="T33" s="318"/>
      <c r="U33" s="318"/>
      <c r="V33" s="318"/>
      <c r="W33" s="318"/>
      <c r="X33" s="318"/>
      <c r="Y33" s="761"/>
      <c r="Z33" s="807"/>
      <c r="AA33" s="760"/>
      <c r="AB33" s="318"/>
      <c r="AC33" s="318"/>
      <c r="AD33" s="318"/>
      <c r="AE33" s="318"/>
      <c r="AF33" s="318"/>
      <c r="AG33" s="761"/>
      <c r="AH33" s="807"/>
      <c r="AI33" s="771"/>
      <c r="AJ33" s="346"/>
      <c r="AK33" s="346"/>
      <c r="AL33" s="346"/>
      <c r="AM33" s="346"/>
      <c r="AN33" s="346"/>
      <c r="AO33" s="346"/>
      <c r="AP33" s="346"/>
      <c r="AQ33" s="772"/>
      <c r="AR33" s="807"/>
      <c r="AS33" s="847"/>
      <c r="AT33" s="340"/>
      <c r="AU33" s="340"/>
      <c r="AV33" s="340"/>
      <c r="AW33" s="340"/>
      <c r="AX33" s="340"/>
      <c r="AY33" s="340"/>
      <c r="AZ33" s="340"/>
      <c r="BA33" s="340"/>
      <c r="BB33" s="340"/>
      <c r="BC33" s="340"/>
      <c r="BD33" s="340"/>
      <c r="BE33" s="340"/>
      <c r="BF33" s="340"/>
      <c r="BG33" s="340"/>
      <c r="BH33" s="340"/>
      <c r="BI33" s="340"/>
      <c r="BJ33" s="340"/>
      <c r="BK33" s="340"/>
      <c r="BL33" s="846"/>
    </row>
    <row r="34" spans="1:64">
      <c r="A34" s="864"/>
      <c r="B34" s="308"/>
      <c r="C34" s="865"/>
      <c r="D34" s="760"/>
      <c r="E34" s="318"/>
      <c r="F34" s="318"/>
      <c r="G34" s="318"/>
      <c r="H34" s="318"/>
      <c r="I34" s="761"/>
      <c r="J34" s="806"/>
      <c r="K34" s="807"/>
      <c r="L34" s="806"/>
      <c r="M34" s="755"/>
      <c r="N34" s="325"/>
      <c r="O34" s="325"/>
      <c r="P34" s="325"/>
      <c r="Q34" s="756"/>
      <c r="R34" s="807"/>
      <c r="S34" s="760"/>
      <c r="T34" s="318"/>
      <c r="U34" s="318"/>
      <c r="V34" s="318"/>
      <c r="W34" s="318"/>
      <c r="X34" s="318"/>
      <c r="Y34" s="761"/>
      <c r="Z34" s="807"/>
      <c r="AA34" s="760"/>
      <c r="AB34" s="318"/>
      <c r="AC34" s="318"/>
      <c r="AD34" s="318"/>
      <c r="AE34" s="318"/>
      <c r="AF34" s="318"/>
      <c r="AG34" s="761"/>
      <c r="AH34" s="807"/>
      <c r="AI34" s="771"/>
      <c r="AJ34" s="346"/>
      <c r="AK34" s="346"/>
      <c r="AL34" s="346"/>
      <c r="AM34" s="346"/>
      <c r="AN34" s="346"/>
      <c r="AO34" s="346"/>
      <c r="AP34" s="346"/>
      <c r="AQ34" s="772"/>
      <c r="AR34" s="807"/>
      <c r="AS34" s="847"/>
      <c r="AT34" s="340"/>
      <c r="AU34" s="340"/>
      <c r="AV34" s="340"/>
      <c r="AW34" s="340"/>
      <c r="AX34" s="340"/>
      <c r="AY34" s="340"/>
      <c r="AZ34" s="340"/>
      <c r="BA34" s="340"/>
      <c r="BB34" s="340"/>
      <c r="BC34" s="340"/>
      <c r="BD34" s="340"/>
      <c r="BE34" s="340"/>
      <c r="BF34" s="340"/>
      <c r="BG34" s="340"/>
      <c r="BH34" s="340"/>
      <c r="BI34" s="340"/>
      <c r="BJ34" s="340"/>
      <c r="BK34" s="340"/>
      <c r="BL34" s="846"/>
    </row>
    <row r="35" spans="1:64">
      <c r="A35" s="864"/>
      <c r="B35" s="308"/>
      <c r="C35" s="865"/>
      <c r="D35" s="760"/>
      <c r="E35" s="318"/>
      <c r="F35" s="318"/>
      <c r="G35" s="318"/>
      <c r="H35" s="318"/>
      <c r="I35" s="761"/>
      <c r="J35" s="806"/>
      <c r="K35" s="807"/>
      <c r="L35" s="806"/>
      <c r="M35" s="755"/>
      <c r="N35" s="325"/>
      <c r="O35" s="325"/>
      <c r="P35" s="325"/>
      <c r="Q35" s="756"/>
      <c r="R35" s="807"/>
      <c r="S35" s="760"/>
      <c r="T35" s="318"/>
      <c r="U35" s="318"/>
      <c r="V35" s="318"/>
      <c r="W35" s="318"/>
      <c r="X35" s="318"/>
      <c r="Y35" s="761"/>
      <c r="Z35" s="807"/>
      <c r="AA35" s="760"/>
      <c r="AB35" s="318"/>
      <c r="AC35" s="318"/>
      <c r="AD35" s="318"/>
      <c r="AE35" s="318"/>
      <c r="AF35" s="318"/>
      <c r="AG35" s="761"/>
      <c r="AH35" s="807"/>
      <c r="AI35" s="771"/>
      <c r="AJ35" s="346"/>
      <c r="AK35" s="346"/>
      <c r="AL35" s="346"/>
      <c r="AM35" s="346"/>
      <c r="AN35" s="346"/>
      <c r="AO35" s="346"/>
      <c r="AP35" s="346"/>
      <c r="AQ35" s="772"/>
      <c r="AR35" s="807"/>
      <c r="AS35" s="847"/>
      <c r="AT35" s="340"/>
      <c r="AU35" s="340"/>
      <c r="AV35" s="340"/>
      <c r="AW35" s="340"/>
      <c r="AX35" s="340"/>
      <c r="AY35" s="340"/>
      <c r="AZ35" s="340"/>
      <c r="BA35" s="340"/>
      <c r="BB35" s="340"/>
      <c r="BC35" s="340"/>
      <c r="BD35" s="340"/>
      <c r="BE35" s="340"/>
      <c r="BF35" s="340"/>
      <c r="BG35" s="340"/>
      <c r="BH35" s="340"/>
      <c r="BI35" s="340"/>
      <c r="BJ35" s="340"/>
      <c r="BK35" s="340"/>
      <c r="BL35" s="846"/>
    </row>
    <row r="36" spans="1:64">
      <c r="A36" s="866"/>
      <c r="B36" s="867"/>
      <c r="C36" s="868"/>
      <c r="D36" s="869"/>
      <c r="E36" s="870"/>
      <c r="F36" s="870"/>
      <c r="G36" s="870"/>
      <c r="H36" s="870"/>
      <c r="I36" s="871"/>
      <c r="J36" s="806"/>
      <c r="K36" s="807"/>
      <c r="L36" s="806"/>
      <c r="M36" s="755"/>
      <c r="N36" s="325"/>
      <c r="O36" s="325"/>
      <c r="P36" s="325"/>
      <c r="Q36" s="756"/>
      <c r="R36" s="807"/>
      <c r="S36" s="760"/>
      <c r="T36" s="318"/>
      <c r="U36" s="318"/>
      <c r="V36" s="318"/>
      <c r="W36" s="318"/>
      <c r="X36" s="318"/>
      <c r="Y36" s="761"/>
      <c r="Z36" s="807"/>
      <c r="AA36" s="760"/>
      <c r="AB36" s="318"/>
      <c r="AC36" s="318"/>
      <c r="AD36" s="318"/>
      <c r="AE36" s="318"/>
      <c r="AF36" s="318"/>
      <c r="AG36" s="761"/>
      <c r="AH36" s="807"/>
      <c r="AI36" s="773"/>
      <c r="AJ36" s="774"/>
      <c r="AK36" s="774"/>
      <c r="AL36" s="774"/>
      <c r="AM36" s="774"/>
      <c r="AN36" s="774"/>
      <c r="AO36" s="774"/>
      <c r="AP36" s="774"/>
      <c r="AQ36" s="775"/>
      <c r="AR36" s="807"/>
      <c r="AS36" s="847"/>
      <c r="AT36" s="340"/>
      <c r="AU36" s="340"/>
      <c r="AV36" s="340"/>
      <c r="AW36" s="340"/>
      <c r="AX36" s="340"/>
      <c r="AY36" s="340"/>
      <c r="AZ36" s="340"/>
      <c r="BA36" s="340"/>
      <c r="BB36" s="340"/>
      <c r="BC36" s="340"/>
      <c r="BD36" s="340"/>
      <c r="BE36" s="340"/>
      <c r="BF36" s="340"/>
      <c r="BG36" s="340"/>
      <c r="BH36" s="340"/>
      <c r="BI36" s="340"/>
      <c r="BJ36" s="340"/>
      <c r="BK36" s="340"/>
      <c r="BL36" s="846"/>
    </row>
    <row r="37" spans="1:64">
      <c r="A37" s="831"/>
      <c r="B37" s="696"/>
      <c r="C37" s="832"/>
      <c r="D37" s="831"/>
      <c r="E37" s="696"/>
      <c r="F37" s="696"/>
      <c r="G37" s="696"/>
      <c r="H37" s="696"/>
      <c r="I37" s="832"/>
      <c r="J37" s="806"/>
      <c r="K37" s="807"/>
      <c r="L37" s="806"/>
      <c r="M37" s="755"/>
      <c r="N37" s="325"/>
      <c r="O37" s="325"/>
      <c r="P37" s="325"/>
      <c r="Q37" s="756"/>
      <c r="R37" s="807"/>
      <c r="S37" s="760"/>
      <c r="T37" s="318"/>
      <c r="U37" s="318"/>
      <c r="V37" s="318"/>
      <c r="W37" s="318"/>
      <c r="X37" s="318"/>
      <c r="Y37" s="761"/>
      <c r="Z37" s="807"/>
      <c r="AA37" s="760"/>
      <c r="AB37" s="318"/>
      <c r="AC37" s="318"/>
      <c r="AD37" s="318"/>
      <c r="AE37" s="318"/>
      <c r="AF37" s="318"/>
      <c r="AG37" s="761"/>
      <c r="AH37" s="807"/>
      <c r="AI37" s="831"/>
      <c r="AJ37" s="696"/>
      <c r="AK37" s="696"/>
      <c r="AL37" s="696"/>
      <c r="AM37" s="696"/>
      <c r="AN37" s="696"/>
      <c r="AO37" s="696"/>
      <c r="AP37" s="696"/>
      <c r="AQ37" s="832"/>
      <c r="AR37" s="807"/>
      <c r="AS37" s="847"/>
      <c r="AT37" s="340"/>
      <c r="AU37" s="340"/>
      <c r="AV37" s="340"/>
      <c r="AW37" s="340"/>
      <c r="AX37" s="340"/>
      <c r="AY37" s="340"/>
      <c r="AZ37" s="340"/>
      <c r="BA37" s="340"/>
      <c r="BB37" s="340"/>
      <c r="BC37" s="340"/>
      <c r="BD37" s="340"/>
      <c r="BE37" s="340"/>
      <c r="BF37" s="340"/>
      <c r="BG37" s="340"/>
      <c r="BH37" s="340"/>
      <c r="BI37" s="340"/>
      <c r="BJ37" s="340"/>
      <c r="BK37" s="340"/>
      <c r="BL37" s="846"/>
    </row>
    <row r="38" spans="1:64" ht="15.75">
      <c r="A38" s="780">
        <f>AI29</f>
        <v>6686400</v>
      </c>
      <c r="B38" s="781"/>
      <c r="C38" s="781"/>
      <c r="D38" s="781"/>
      <c r="E38" s="781"/>
      <c r="F38" s="781"/>
      <c r="G38" s="781"/>
      <c r="H38" s="781"/>
      <c r="I38" s="781"/>
      <c r="J38" s="781"/>
      <c r="K38" s="781"/>
      <c r="L38" s="781"/>
      <c r="M38" s="782"/>
      <c r="N38" s="183"/>
      <c r="O38" s="184"/>
      <c r="P38" s="184"/>
      <c r="Q38" s="184"/>
      <c r="R38" s="184"/>
      <c r="S38" s="776"/>
      <c r="T38" s="776"/>
      <c r="U38" s="776"/>
      <c r="V38" s="776"/>
      <c r="W38" s="776"/>
      <c r="X38" s="776"/>
      <c r="Y38" s="776"/>
      <c r="Z38" s="184"/>
      <c r="AA38" s="185"/>
      <c r="AB38" s="159" t="s">
        <v>59</v>
      </c>
      <c r="AC38" s="160"/>
      <c r="AD38" s="160"/>
      <c r="AE38" s="160"/>
      <c r="AF38" s="160"/>
      <c r="AG38" s="160"/>
      <c r="AH38" s="160"/>
      <c r="AI38" s="786"/>
      <c r="AJ38" s="786"/>
      <c r="AK38" s="786"/>
      <c r="AL38" s="786"/>
      <c r="AM38" s="786"/>
      <c r="AN38" s="786"/>
      <c r="AO38" s="786"/>
      <c r="AP38" s="786"/>
      <c r="AQ38" s="786"/>
      <c r="AR38" s="160"/>
      <c r="AS38" s="160"/>
      <c r="AT38" s="160"/>
      <c r="AU38" s="160"/>
      <c r="AV38" s="160"/>
      <c r="AW38" s="160"/>
      <c r="AX38" s="160"/>
      <c r="AY38" s="160"/>
      <c r="AZ38" s="160"/>
      <c r="BA38" s="160"/>
      <c r="BB38" s="160"/>
      <c r="BC38" s="160"/>
      <c r="BD38" s="160"/>
      <c r="BE38" s="160"/>
      <c r="BF38" s="160"/>
      <c r="BG38" s="160"/>
      <c r="BH38" s="160"/>
      <c r="BI38" s="160"/>
      <c r="BJ38" s="160"/>
      <c r="BK38" s="160"/>
      <c r="BL38" s="162"/>
    </row>
    <row r="39" spans="1:64" ht="7.5" customHeight="1">
      <c r="A39" s="783"/>
      <c r="B39" s="784"/>
      <c r="C39" s="784"/>
      <c r="D39" s="784"/>
      <c r="E39" s="784"/>
      <c r="F39" s="784"/>
      <c r="G39" s="784"/>
      <c r="H39" s="784"/>
      <c r="I39" s="784"/>
      <c r="J39" s="784"/>
      <c r="K39" s="784"/>
      <c r="L39" s="784"/>
      <c r="M39" s="785"/>
      <c r="N39" s="186"/>
      <c r="O39" s="187"/>
      <c r="P39" s="187"/>
      <c r="Q39" s="187"/>
      <c r="R39" s="187"/>
      <c r="S39" s="187"/>
      <c r="T39" s="187"/>
      <c r="U39" s="187"/>
      <c r="V39" s="187"/>
      <c r="W39" s="187"/>
      <c r="X39" s="187"/>
      <c r="Y39" s="187"/>
      <c r="Z39" s="187"/>
      <c r="AA39" s="188"/>
      <c r="AB39" s="189"/>
      <c r="AC39" s="190"/>
      <c r="AD39" s="190"/>
      <c r="AE39" s="190"/>
      <c r="AF39" s="190"/>
      <c r="AG39" s="190"/>
      <c r="AH39" s="190"/>
      <c r="AI39" s="787"/>
      <c r="AJ39" s="787"/>
      <c r="AK39" s="787"/>
      <c r="AL39" s="787"/>
      <c r="AM39" s="787"/>
      <c r="AN39" s="787"/>
      <c r="AO39" s="787"/>
      <c r="AP39" s="787"/>
      <c r="AQ39" s="787"/>
      <c r="AR39" s="190"/>
      <c r="AS39" s="190"/>
      <c r="AT39" s="190"/>
      <c r="AU39" s="190"/>
      <c r="AV39" s="190"/>
      <c r="AW39" s="190"/>
      <c r="AX39" s="190"/>
      <c r="AY39" s="190"/>
      <c r="AZ39" s="190"/>
      <c r="BA39" s="190"/>
      <c r="BB39" s="190"/>
      <c r="BC39" s="190"/>
      <c r="BD39" s="190"/>
      <c r="BE39" s="190"/>
      <c r="BF39" s="190"/>
      <c r="BG39" s="190"/>
      <c r="BH39" s="190"/>
      <c r="BI39" s="190"/>
      <c r="BJ39" s="190"/>
      <c r="BK39" s="190"/>
      <c r="BL39" s="191"/>
    </row>
    <row r="40" spans="1:64" ht="15.75">
      <c r="A40" s="183"/>
      <c r="B40" s="184"/>
      <c r="C40" s="184"/>
      <c r="D40" s="184"/>
      <c r="E40" s="184"/>
      <c r="F40" s="184"/>
      <c r="G40" s="184"/>
      <c r="H40" s="184"/>
      <c r="I40" s="184"/>
      <c r="J40" s="184"/>
      <c r="K40" s="184"/>
      <c r="L40" s="184"/>
      <c r="M40" s="185"/>
      <c r="N40" s="183"/>
      <c r="O40" s="184"/>
      <c r="P40" s="184"/>
      <c r="Q40" s="184"/>
      <c r="R40" s="184"/>
      <c r="S40" s="184"/>
      <c r="T40" s="184"/>
      <c r="U40" s="184"/>
      <c r="V40" s="184"/>
      <c r="W40" s="184"/>
      <c r="X40" s="184"/>
      <c r="Y40" s="184"/>
      <c r="Z40" s="184"/>
      <c r="AA40" s="185"/>
      <c r="AB40" s="788"/>
      <c r="AC40" s="789"/>
      <c r="AD40" s="789"/>
      <c r="AE40" s="789"/>
      <c r="AF40" s="789"/>
      <c r="AG40" s="789"/>
      <c r="AH40" s="789"/>
      <c r="AI40" s="789"/>
      <c r="AJ40" s="789"/>
      <c r="AK40" s="789"/>
      <c r="AL40" s="789"/>
      <c r="AM40" s="789"/>
      <c r="AN40" s="789"/>
      <c r="AO40" s="789"/>
      <c r="AP40" s="789"/>
      <c r="AQ40" s="789"/>
      <c r="AR40" s="789"/>
      <c r="AS40" s="789"/>
      <c r="AT40" s="789"/>
      <c r="AU40" s="789"/>
      <c r="AV40" s="789"/>
      <c r="AW40" s="789"/>
      <c r="AX40" s="789"/>
      <c r="AY40" s="789"/>
      <c r="AZ40" s="789"/>
      <c r="BA40" s="789"/>
      <c r="BB40" s="789"/>
      <c r="BC40" s="789"/>
      <c r="BD40" s="789"/>
      <c r="BE40" s="789"/>
      <c r="BF40" s="789"/>
      <c r="BG40" s="789"/>
      <c r="BH40" s="789"/>
      <c r="BI40" s="789"/>
      <c r="BJ40" s="789"/>
      <c r="BK40" s="789"/>
      <c r="BL40" s="790"/>
    </row>
    <row r="41" spans="1:64" ht="7.5" customHeight="1">
      <c r="A41" s="186"/>
      <c r="B41" s="187"/>
      <c r="C41" s="187"/>
      <c r="D41" s="187"/>
      <c r="E41" s="187"/>
      <c r="F41" s="187"/>
      <c r="G41" s="187"/>
      <c r="H41" s="187"/>
      <c r="I41" s="187"/>
      <c r="J41" s="187"/>
      <c r="K41" s="187"/>
      <c r="L41" s="187"/>
      <c r="M41" s="188"/>
      <c r="N41" s="186"/>
      <c r="O41" s="187"/>
      <c r="P41" s="187"/>
      <c r="Q41" s="187"/>
      <c r="R41" s="187"/>
      <c r="S41" s="187"/>
      <c r="T41" s="187"/>
      <c r="U41" s="187"/>
      <c r="V41" s="187"/>
      <c r="W41" s="187"/>
      <c r="X41" s="187"/>
      <c r="Y41" s="187"/>
      <c r="Z41" s="187"/>
      <c r="AA41" s="188"/>
      <c r="AB41" s="791"/>
      <c r="AC41" s="792"/>
      <c r="AD41" s="792"/>
      <c r="AE41" s="792"/>
      <c r="AF41" s="792"/>
      <c r="AG41" s="792"/>
      <c r="AH41" s="792"/>
      <c r="AI41" s="792"/>
      <c r="AJ41" s="792"/>
      <c r="AK41" s="792"/>
      <c r="AL41" s="792"/>
      <c r="AM41" s="792"/>
      <c r="AN41" s="792"/>
      <c r="AO41" s="792"/>
      <c r="AP41" s="792"/>
      <c r="AQ41" s="792"/>
      <c r="AR41" s="792"/>
      <c r="AS41" s="792"/>
      <c r="AT41" s="792"/>
      <c r="AU41" s="792"/>
      <c r="AV41" s="792"/>
      <c r="AW41" s="792"/>
      <c r="AX41" s="792"/>
      <c r="AY41" s="792"/>
      <c r="AZ41" s="792"/>
      <c r="BA41" s="792"/>
      <c r="BB41" s="792"/>
      <c r="BC41" s="792"/>
      <c r="BD41" s="792"/>
      <c r="BE41" s="792"/>
      <c r="BF41" s="792"/>
      <c r="BG41" s="792"/>
      <c r="BH41" s="792"/>
      <c r="BI41" s="792"/>
      <c r="BJ41" s="792"/>
      <c r="BK41" s="792"/>
      <c r="BL41" s="793"/>
    </row>
    <row r="42" spans="1:64" ht="15.75">
      <c r="A42" s="183"/>
      <c r="B42" s="184"/>
      <c r="C42" s="184"/>
      <c r="D42" s="184"/>
      <c r="E42" s="192"/>
      <c r="F42" s="192"/>
      <c r="G42" s="192"/>
      <c r="H42" s="192"/>
      <c r="I42" s="192"/>
      <c r="J42" s="192"/>
      <c r="K42" s="192"/>
      <c r="L42" s="192"/>
      <c r="M42" s="193"/>
      <c r="N42" s="194"/>
      <c r="O42" s="192"/>
      <c r="P42" s="192"/>
      <c r="Q42" s="192"/>
      <c r="R42" s="192"/>
      <c r="S42" s="192"/>
      <c r="T42" s="192"/>
      <c r="U42" s="192"/>
      <c r="V42" s="192"/>
      <c r="W42" s="192"/>
      <c r="X42" s="184"/>
      <c r="Y42" s="184"/>
      <c r="Z42" s="184"/>
      <c r="AA42" s="185"/>
      <c r="AB42" s="788"/>
      <c r="AC42" s="789"/>
      <c r="AD42" s="789"/>
      <c r="AE42" s="789"/>
      <c r="AF42" s="789"/>
      <c r="AG42" s="789"/>
      <c r="AH42" s="789"/>
      <c r="AI42" s="789"/>
      <c r="AJ42" s="789"/>
      <c r="AK42" s="789"/>
      <c r="AL42" s="789"/>
      <c r="AM42" s="789"/>
      <c r="AN42" s="789"/>
      <c r="AO42" s="789"/>
      <c r="AP42" s="789"/>
      <c r="AQ42" s="789"/>
      <c r="AR42" s="789"/>
      <c r="AS42" s="789"/>
      <c r="AT42" s="789"/>
      <c r="AU42" s="789"/>
      <c r="AV42" s="789"/>
      <c r="AW42" s="789"/>
      <c r="AX42" s="789"/>
      <c r="AY42" s="789"/>
      <c r="AZ42" s="789"/>
      <c r="BA42" s="789"/>
      <c r="BB42" s="789"/>
      <c r="BC42" s="789"/>
      <c r="BD42" s="789"/>
      <c r="BE42" s="789"/>
      <c r="BF42" s="789"/>
      <c r="BG42" s="789"/>
      <c r="BH42" s="789"/>
      <c r="BI42" s="789"/>
      <c r="BJ42" s="789"/>
      <c r="BK42" s="789"/>
      <c r="BL42" s="790"/>
    </row>
    <row r="43" spans="1:64" ht="7.5" customHeight="1">
      <c r="A43" s="186"/>
      <c r="B43" s="187"/>
      <c r="C43" s="187"/>
      <c r="D43" s="187"/>
      <c r="E43" s="187"/>
      <c r="F43" s="187"/>
      <c r="G43" s="187"/>
      <c r="H43" s="187"/>
      <c r="I43" s="187"/>
      <c r="J43" s="187"/>
      <c r="K43" s="187"/>
      <c r="L43" s="187"/>
      <c r="M43" s="188"/>
      <c r="N43" s="186"/>
      <c r="O43" s="187"/>
      <c r="P43" s="187"/>
      <c r="Q43" s="187"/>
      <c r="R43" s="187"/>
      <c r="S43" s="187"/>
      <c r="T43" s="187"/>
      <c r="U43" s="187"/>
      <c r="V43" s="187"/>
      <c r="W43" s="187"/>
      <c r="X43" s="187"/>
      <c r="Y43" s="187"/>
      <c r="Z43" s="187"/>
      <c r="AA43" s="188"/>
      <c r="AB43" s="791"/>
      <c r="AC43" s="792"/>
      <c r="AD43" s="792"/>
      <c r="AE43" s="792"/>
      <c r="AF43" s="792"/>
      <c r="AG43" s="792"/>
      <c r="AH43" s="792"/>
      <c r="AI43" s="792"/>
      <c r="AJ43" s="792"/>
      <c r="AK43" s="792"/>
      <c r="AL43" s="792"/>
      <c r="AM43" s="792"/>
      <c r="AN43" s="792"/>
      <c r="AO43" s="792"/>
      <c r="AP43" s="792"/>
      <c r="AQ43" s="792"/>
      <c r="AR43" s="792"/>
      <c r="AS43" s="792"/>
      <c r="AT43" s="792"/>
      <c r="AU43" s="792"/>
      <c r="AV43" s="792"/>
      <c r="AW43" s="792"/>
      <c r="AX43" s="792"/>
      <c r="AY43" s="792"/>
      <c r="AZ43" s="792"/>
      <c r="BA43" s="792"/>
      <c r="BB43" s="792"/>
      <c r="BC43" s="792"/>
      <c r="BD43" s="792"/>
      <c r="BE43" s="792"/>
      <c r="BF43" s="792"/>
      <c r="BG43" s="792"/>
      <c r="BH43" s="792"/>
      <c r="BI43" s="792"/>
      <c r="BJ43" s="792"/>
      <c r="BK43" s="792"/>
      <c r="BL43" s="793"/>
    </row>
    <row r="44" spans="1:64" ht="15" customHeight="1">
      <c r="A44" s="183"/>
      <c r="B44" s="184"/>
      <c r="C44" s="184"/>
      <c r="D44" s="184"/>
      <c r="E44" s="184"/>
      <c r="F44" s="184"/>
      <c r="G44" s="184"/>
      <c r="H44" s="184"/>
      <c r="I44" s="184"/>
      <c r="J44" s="184"/>
      <c r="K44" s="184"/>
      <c r="L44" s="184"/>
      <c r="M44" s="185"/>
      <c r="N44" s="183"/>
      <c r="O44" s="184"/>
      <c r="P44" s="184"/>
      <c r="Q44" s="184"/>
      <c r="R44" s="184"/>
      <c r="S44" s="184"/>
      <c r="T44" s="184"/>
      <c r="U44" s="184"/>
      <c r="V44" s="184"/>
      <c r="W44" s="184"/>
      <c r="X44" s="184"/>
      <c r="Y44" s="184"/>
      <c r="Z44" s="184"/>
      <c r="AA44" s="185"/>
      <c r="AB44" s="794" t="s">
        <v>60</v>
      </c>
      <c r="AC44" s="795"/>
      <c r="AD44" s="795"/>
      <c r="AE44" s="795"/>
      <c r="AF44" s="795"/>
      <c r="AG44" s="795"/>
      <c r="AH44" s="795"/>
      <c r="AI44" s="795"/>
      <c r="AJ44" s="795"/>
      <c r="AK44" s="795"/>
      <c r="AL44" s="795"/>
      <c r="AM44" s="795"/>
      <c r="AN44" s="795"/>
      <c r="AO44" s="795"/>
      <c r="AP44" s="795"/>
      <c r="AQ44" s="795"/>
      <c r="AR44" s="795"/>
      <c r="AS44" s="795"/>
      <c r="AT44" s="795"/>
      <c r="AU44" s="795"/>
      <c r="AV44" s="795"/>
      <c r="AW44" s="795"/>
      <c r="AX44" s="795"/>
      <c r="AY44" s="795"/>
      <c r="AZ44" s="795"/>
      <c r="BA44" s="795"/>
      <c r="BB44" s="795"/>
      <c r="BC44" s="795"/>
      <c r="BD44" s="795"/>
      <c r="BE44" s="795"/>
      <c r="BF44" s="795"/>
      <c r="BG44" s="795"/>
      <c r="BH44" s="795"/>
      <c r="BI44" s="795"/>
      <c r="BJ44" s="795"/>
      <c r="BK44" s="795"/>
      <c r="BL44" s="796"/>
    </row>
    <row r="45" spans="1:64" ht="7.5" customHeight="1">
      <c r="A45" s="186"/>
      <c r="B45" s="187"/>
      <c r="C45" s="187"/>
      <c r="D45" s="187"/>
      <c r="E45" s="187"/>
      <c r="F45" s="187"/>
      <c r="G45" s="187"/>
      <c r="H45" s="187"/>
      <c r="I45" s="187"/>
      <c r="J45" s="187"/>
      <c r="K45" s="187"/>
      <c r="L45" s="187"/>
      <c r="M45" s="188"/>
      <c r="N45" s="186"/>
      <c r="O45" s="187"/>
      <c r="P45" s="187"/>
      <c r="Q45" s="187"/>
      <c r="R45" s="187"/>
      <c r="S45" s="187"/>
      <c r="T45" s="187"/>
      <c r="U45" s="187"/>
      <c r="V45" s="187"/>
      <c r="W45" s="187"/>
      <c r="X45" s="187"/>
      <c r="Y45" s="187"/>
      <c r="Z45" s="187"/>
      <c r="AA45" s="188"/>
      <c r="AB45" s="797"/>
      <c r="AC45" s="798"/>
      <c r="AD45" s="798"/>
      <c r="AE45" s="798"/>
      <c r="AF45" s="798"/>
      <c r="AG45" s="798"/>
      <c r="AH45" s="798"/>
      <c r="AI45" s="798"/>
      <c r="AJ45" s="798"/>
      <c r="AK45" s="798"/>
      <c r="AL45" s="798"/>
      <c r="AM45" s="798"/>
      <c r="AN45" s="798"/>
      <c r="AO45" s="798"/>
      <c r="AP45" s="798"/>
      <c r="AQ45" s="798"/>
      <c r="AR45" s="798"/>
      <c r="AS45" s="798"/>
      <c r="AT45" s="798"/>
      <c r="AU45" s="798"/>
      <c r="AV45" s="798"/>
      <c r="AW45" s="798"/>
      <c r="AX45" s="798"/>
      <c r="AY45" s="798"/>
      <c r="AZ45" s="798"/>
      <c r="BA45" s="798"/>
      <c r="BB45" s="798"/>
      <c r="BC45" s="798"/>
      <c r="BD45" s="798"/>
      <c r="BE45" s="798"/>
      <c r="BF45" s="798"/>
      <c r="BG45" s="798"/>
      <c r="BH45" s="798"/>
      <c r="BI45" s="798"/>
      <c r="BJ45" s="798"/>
      <c r="BK45" s="798"/>
      <c r="BL45" s="799"/>
    </row>
    <row r="46" spans="1:64" ht="15.75">
      <c r="A46" s="814">
        <f>'1'!A46</f>
        <v>1052092</v>
      </c>
      <c r="B46" s="815"/>
      <c r="C46" s="815"/>
      <c r="D46" s="815"/>
      <c r="E46" s="815"/>
      <c r="F46" s="815"/>
      <c r="G46" s="815"/>
      <c r="H46" s="815"/>
      <c r="I46" s="815"/>
      <c r="J46" s="815"/>
      <c r="K46" s="815"/>
      <c r="L46" s="815"/>
      <c r="M46" s="816"/>
      <c r="N46" s="183"/>
      <c r="O46" s="184"/>
      <c r="P46" s="184"/>
      <c r="Q46" s="184"/>
      <c r="R46" s="184"/>
      <c r="S46" s="184"/>
      <c r="T46" s="184"/>
      <c r="U46" s="184"/>
      <c r="V46" s="184"/>
      <c r="W46" s="184"/>
      <c r="X46" s="184"/>
      <c r="Y46" s="184"/>
      <c r="Z46" s="184"/>
      <c r="AA46" s="185"/>
      <c r="AB46" s="820" t="str">
        <f>A3</f>
        <v>PT. NUR INFINIT INDOALEA GLOBAL</v>
      </c>
      <c r="AC46" s="821"/>
      <c r="AD46" s="821"/>
      <c r="AE46" s="821"/>
      <c r="AF46" s="821"/>
      <c r="AG46" s="821"/>
      <c r="AH46" s="821"/>
      <c r="AI46" s="821"/>
      <c r="AJ46" s="821"/>
      <c r="AK46" s="821"/>
      <c r="AL46" s="821"/>
      <c r="AM46" s="821"/>
      <c r="AN46" s="821"/>
      <c r="AO46" s="821"/>
      <c r="AP46" s="821"/>
      <c r="AQ46" s="821"/>
      <c r="AR46" s="821"/>
      <c r="AS46" s="821"/>
      <c r="AT46" s="821"/>
      <c r="AU46" s="821"/>
      <c r="AV46" s="821"/>
      <c r="AW46" s="821"/>
      <c r="AX46" s="821"/>
      <c r="AY46" s="821"/>
      <c r="AZ46" s="821"/>
      <c r="BA46" s="821"/>
      <c r="BB46" s="821"/>
      <c r="BC46" s="821"/>
      <c r="BD46" s="821"/>
      <c r="BE46" s="821"/>
      <c r="BF46" s="821"/>
      <c r="BG46" s="821"/>
      <c r="BH46" s="821"/>
      <c r="BI46" s="821"/>
      <c r="BJ46" s="821"/>
      <c r="BK46" s="821"/>
      <c r="BL46" s="822"/>
    </row>
    <row r="47" spans="1:64" ht="7.5" customHeight="1">
      <c r="A47" s="817"/>
      <c r="B47" s="818"/>
      <c r="C47" s="818"/>
      <c r="D47" s="818"/>
      <c r="E47" s="818"/>
      <c r="F47" s="818"/>
      <c r="G47" s="818"/>
      <c r="H47" s="818"/>
      <c r="I47" s="818"/>
      <c r="J47" s="818"/>
      <c r="K47" s="818"/>
      <c r="L47" s="818"/>
      <c r="M47" s="819"/>
      <c r="N47" s="186"/>
      <c r="O47" s="187"/>
      <c r="P47" s="187"/>
      <c r="Q47" s="187"/>
      <c r="R47" s="187"/>
      <c r="S47" s="187"/>
      <c r="T47" s="187"/>
      <c r="U47" s="187"/>
      <c r="V47" s="187"/>
      <c r="W47" s="187"/>
      <c r="X47" s="187"/>
      <c r="Y47" s="187"/>
      <c r="Z47" s="187"/>
      <c r="AA47" s="188"/>
      <c r="AB47" s="823"/>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5"/>
    </row>
    <row r="48" spans="1:64" ht="15.75">
      <c r="A48" s="195"/>
      <c r="B48" s="196"/>
      <c r="C48" s="196"/>
      <c r="D48" s="196"/>
      <c r="E48" s="197"/>
      <c r="F48" s="197"/>
      <c r="G48" s="197"/>
      <c r="H48" s="197"/>
      <c r="I48" s="197"/>
      <c r="J48" s="197"/>
      <c r="K48" s="197"/>
      <c r="L48" s="197"/>
      <c r="M48" s="198"/>
      <c r="N48" s="199"/>
      <c r="O48" s="199"/>
      <c r="P48" s="199"/>
      <c r="Q48" s="199"/>
      <c r="R48" s="199"/>
      <c r="S48" s="199"/>
      <c r="T48" s="199"/>
      <c r="U48" s="199"/>
      <c r="V48" s="199"/>
      <c r="W48" s="199"/>
      <c r="X48" s="200"/>
      <c r="Y48" s="200"/>
      <c r="Z48" s="200"/>
      <c r="AA48" s="201"/>
      <c r="AB48" s="777" t="s">
        <v>61</v>
      </c>
      <c r="AC48" s="778"/>
      <c r="AD48" s="778"/>
      <c r="AE48" s="778"/>
      <c r="AF48" s="778"/>
      <c r="AG48" s="778"/>
      <c r="AH48" s="778"/>
      <c r="AI48" s="778"/>
      <c r="AJ48" s="778"/>
      <c r="AK48" s="778"/>
      <c r="AL48" s="778"/>
      <c r="AM48" s="778"/>
      <c r="AN48" s="778"/>
      <c r="AO48" s="778"/>
      <c r="AP48" s="778"/>
      <c r="AQ48" s="778"/>
      <c r="AR48" s="778"/>
      <c r="AS48" s="778"/>
      <c r="AT48" s="778"/>
      <c r="AU48" s="778"/>
      <c r="AV48" s="778"/>
      <c r="AW48" s="778"/>
      <c r="AX48" s="778"/>
      <c r="AY48" s="778"/>
      <c r="AZ48" s="778"/>
      <c r="BA48" s="778"/>
      <c r="BB48" s="778"/>
      <c r="BC48" s="778"/>
      <c r="BD48" s="778"/>
      <c r="BE48" s="778"/>
      <c r="BF48" s="778"/>
      <c r="BG48" s="778"/>
      <c r="BH48" s="778"/>
      <c r="BI48" s="778"/>
      <c r="BJ48" s="778"/>
      <c r="BK48" s="778"/>
      <c r="BL48" s="779"/>
    </row>
    <row r="49" spans="1:64" ht="7.5" customHeight="1">
      <c r="A49" s="195"/>
      <c r="B49" s="196"/>
      <c r="C49" s="196"/>
      <c r="D49" s="196"/>
      <c r="E49" s="196"/>
      <c r="F49" s="196"/>
      <c r="G49" s="196"/>
      <c r="H49" s="196"/>
      <c r="I49" s="196"/>
      <c r="J49" s="196"/>
      <c r="K49" s="196"/>
      <c r="L49" s="196"/>
      <c r="M49" s="202"/>
      <c r="N49" s="203"/>
      <c r="O49" s="203"/>
      <c r="P49" s="203"/>
      <c r="Q49" s="203"/>
      <c r="R49" s="203"/>
      <c r="S49" s="203"/>
      <c r="T49" s="203"/>
      <c r="U49" s="203"/>
      <c r="V49" s="203"/>
      <c r="W49" s="203"/>
      <c r="X49" s="203"/>
      <c r="Y49" s="203"/>
      <c r="Z49" s="203"/>
      <c r="AA49" s="204"/>
      <c r="AB49" s="183"/>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5"/>
    </row>
    <row r="50" spans="1:64" ht="15.75">
      <c r="A50" s="780">
        <f>A38+A46</f>
        <v>7738492</v>
      </c>
      <c r="B50" s="826"/>
      <c r="C50" s="826"/>
      <c r="D50" s="826"/>
      <c r="E50" s="826"/>
      <c r="F50" s="826"/>
      <c r="G50" s="826"/>
      <c r="H50" s="826"/>
      <c r="I50" s="826"/>
      <c r="J50" s="826"/>
      <c r="K50" s="826"/>
      <c r="L50" s="826"/>
      <c r="M50" s="827"/>
      <c r="N50" s="183"/>
      <c r="O50" s="776"/>
      <c r="P50" s="776"/>
      <c r="Q50" s="776"/>
      <c r="R50" s="776"/>
      <c r="S50" s="776"/>
      <c r="T50" s="776"/>
      <c r="U50" s="776"/>
      <c r="V50" s="776"/>
      <c r="W50" s="776"/>
      <c r="X50" s="776"/>
      <c r="Y50" s="776"/>
      <c r="Z50" s="776"/>
      <c r="AA50" s="185"/>
      <c r="AB50" s="205"/>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206"/>
    </row>
    <row r="51" spans="1:64" ht="7.5" customHeight="1">
      <c r="A51" s="828"/>
      <c r="B51" s="829"/>
      <c r="C51" s="829"/>
      <c r="D51" s="829"/>
      <c r="E51" s="829"/>
      <c r="F51" s="829"/>
      <c r="G51" s="829"/>
      <c r="H51" s="829"/>
      <c r="I51" s="829"/>
      <c r="J51" s="829"/>
      <c r="K51" s="829"/>
      <c r="L51" s="829"/>
      <c r="M51" s="830"/>
      <c r="N51" s="186"/>
      <c r="O51" s="187"/>
      <c r="P51" s="187"/>
      <c r="Q51" s="187"/>
      <c r="R51" s="187"/>
      <c r="S51" s="187"/>
      <c r="T51" s="187"/>
      <c r="U51" s="187"/>
      <c r="V51" s="187"/>
      <c r="W51" s="187"/>
      <c r="X51" s="187"/>
      <c r="Y51" s="187"/>
      <c r="Z51" s="187"/>
      <c r="AA51" s="188"/>
      <c r="AB51" s="205"/>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206"/>
    </row>
    <row r="52" spans="1:64" ht="15.75">
      <c r="A52" s="183"/>
      <c r="B52" s="776"/>
      <c r="C52" s="776"/>
      <c r="D52" s="776"/>
      <c r="E52" s="776"/>
      <c r="F52" s="776"/>
      <c r="G52" s="776"/>
      <c r="H52" s="776"/>
      <c r="I52" s="776"/>
      <c r="J52" s="776"/>
      <c r="K52" s="776"/>
      <c r="L52" s="776"/>
      <c r="M52" s="185"/>
      <c r="N52" s="183"/>
      <c r="O52" s="776"/>
      <c r="P52" s="776"/>
      <c r="Q52" s="776"/>
      <c r="R52" s="776"/>
      <c r="S52" s="776"/>
      <c r="T52" s="776"/>
      <c r="U52" s="776"/>
      <c r="V52" s="776"/>
      <c r="W52" s="776"/>
      <c r="X52" s="776"/>
      <c r="Y52" s="776"/>
      <c r="Z52" s="776"/>
      <c r="AA52" s="185"/>
      <c r="AB52" s="207"/>
      <c r="AC52" s="800">
        <f>'1'!AC52</f>
        <v>46171</v>
      </c>
      <c r="AD52" s="801"/>
      <c r="AE52" s="801"/>
      <c r="AF52" s="801"/>
      <c r="AG52" s="801"/>
      <c r="AH52" s="801"/>
      <c r="AI52" s="801"/>
      <c r="AJ52" s="801"/>
      <c r="AK52" s="801"/>
      <c r="AL52" s="208"/>
      <c r="AM52" s="208"/>
      <c r="AN52" s="208"/>
      <c r="AO52" s="801" t="str">
        <f>'1'!AO52</f>
        <v>CGK</v>
      </c>
      <c r="AP52" s="801"/>
      <c r="AQ52" s="801"/>
      <c r="AR52" s="801"/>
      <c r="AS52" s="208"/>
      <c r="AT52" s="208"/>
      <c r="AU52" s="208"/>
      <c r="AV52" s="208"/>
      <c r="AW52" s="208"/>
      <c r="AX52" s="208"/>
      <c r="AY52" s="208"/>
      <c r="AZ52" s="208"/>
      <c r="BA52" s="208"/>
      <c r="BB52" s="208"/>
      <c r="BC52" s="208"/>
      <c r="BD52" s="208"/>
      <c r="BE52" s="208"/>
      <c r="BF52" s="208"/>
      <c r="BG52" s="208"/>
      <c r="BH52" s="208"/>
      <c r="BI52" s="208"/>
      <c r="BJ52" s="208"/>
      <c r="BK52" s="208"/>
      <c r="BL52" s="209"/>
    </row>
    <row r="53" spans="1:64" ht="7.5" customHeight="1">
      <c r="A53" s="186"/>
      <c r="B53" s="187"/>
      <c r="C53" s="187"/>
      <c r="D53" s="187"/>
      <c r="E53" s="187"/>
      <c r="F53" s="187"/>
      <c r="G53" s="187"/>
      <c r="H53" s="187"/>
      <c r="I53" s="187"/>
      <c r="J53" s="187"/>
      <c r="K53" s="187"/>
      <c r="L53" s="187"/>
      <c r="M53" s="188"/>
      <c r="N53" s="186"/>
      <c r="O53" s="187"/>
      <c r="P53" s="187"/>
      <c r="Q53" s="187"/>
      <c r="R53" s="187"/>
      <c r="S53" s="187"/>
      <c r="T53" s="187"/>
      <c r="U53" s="187"/>
      <c r="V53" s="187"/>
      <c r="W53" s="187"/>
      <c r="X53" s="187"/>
      <c r="Y53" s="187"/>
      <c r="Z53" s="187"/>
      <c r="AA53" s="188"/>
      <c r="AB53" s="777" t="s">
        <v>62</v>
      </c>
      <c r="AC53" s="778"/>
      <c r="AD53" s="778"/>
      <c r="AE53" s="778"/>
      <c r="AF53" s="778"/>
      <c r="AG53" s="778"/>
      <c r="AH53" s="181"/>
      <c r="AI53" s="181"/>
      <c r="AJ53" s="778" t="s">
        <v>63</v>
      </c>
      <c r="AK53" s="778"/>
      <c r="AL53" s="778"/>
      <c r="AM53" s="181"/>
      <c r="AN53" s="181"/>
      <c r="AO53" s="181"/>
      <c r="AP53" s="778" t="s">
        <v>64</v>
      </c>
      <c r="AQ53" s="778"/>
      <c r="AR53" s="181"/>
      <c r="AS53" s="181"/>
      <c r="AT53" s="181"/>
      <c r="AU53" s="778" t="s">
        <v>65</v>
      </c>
      <c r="AV53" s="778"/>
      <c r="AW53" s="778"/>
      <c r="AX53" s="778"/>
      <c r="AY53" s="778"/>
      <c r="AZ53" s="181"/>
      <c r="BA53" s="778" t="s">
        <v>66</v>
      </c>
      <c r="BB53" s="778"/>
      <c r="BC53" s="778"/>
      <c r="BD53" s="778"/>
      <c r="BE53" s="778"/>
      <c r="BF53" s="778"/>
      <c r="BG53" s="778"/>
      <c r="BH53" s="778"/>
      <c r="BI53" s="778"/>
      <c r="BJ53" s="778"/>
      <c r="BK53" s="778"/>
      <c r="BL53" s="779"/>
    </row>
    <row r="54" spans="1:64" ht="15.75">
      <c r="A54" s="712" t="s">
        <v>67</v>
      </c>
      <c r="B54" s="726"/>
      <c r="C54" s="726"/>
      <c r="D54" s="726"/>
      <c r="E54" s="726"/>
      <c r="F54" s="726"/>
      <c r="G54" s="726"/>
      <c r="H54" s="726"/>
      <c r="I54" s="726"/>
      <c r="J54" s="726"/>
      <c r="K54" s="726"/>
      <c r="L54" s="726"/>
      <c r="M54" s="727"/>
      <c r="N54" s="183"/>
      <c r="O54" s="776"/>
      <c r="P54" s="776"/>
      <c r="Q54" s="776"/>
      <c r="R54" s="776"/>
      <c r="S54" s="776"/>
      <c r="T54" s="776"/>
      <c r="U54" s="776"/>
      <c r="V54" s="776"/>
      <c r="W54" s="776"/>
      <c r="X54" s="776"/>
      <c r="Y54" s="776"/>
      <c r="Z54" s="776"/>
      <c r="AA54" s="185"/>
      <c r="AB54" s="183"/>
      <c r="AC54" s="776"/>
      <c r="AD54" s="776"/>
      <c r="AE54" s="776"/>
      <c r="AF54" s="776"/>
      <c r="AG54" s="776"/>
      <c r="AH54" s="776"/>
      <c r="AI54" s="776"/>
      <c r="AJ54" s="776"/>
      <c r="AK54" s="776"/>
      <c r="AL54" s="776"/>
      <c r="AM54" s="776"/>
      <c r="AN54" s="185"/>
      <c r="AO54" s="808" t="str">
        <f>AT1</f>
        <v>126-91929552</v>
      </c>
      <c r="AP54" s="809"/>
      <c r="AQ54" s="809"/>
      <c r="AR54" s="809"/>
      <c r="AS54" s="809"/>
      <c r="AT54" s="809"/>
      <c r="AU54" s="809"/>
      <c r="AV54" s="809"/>
      <c r="AW54" s="809"/>
      <c r="AX54" s="809"/>
      <c r="AY54" s="809"/>
      <c r="AZ54" s="809"/>
      <c r="BA54" s="809"/>
      <c r="BB54" s="809"/>
      <c r="BC54" s="809"/>
      <c r="BD54" s="809"/>
      <c r="BE54" s="809"/>
      <c r="BF54" s="809"/>
      <c r="BG54" s="809"/>
      <c r="BH54" s="809"/>
      <c r="BI54" s="809"/>
      <c r="BJ54" s="809"/>
      <c r="BK54" s="809"/>
      <c r="BL54" s="810"/>
    </row>
    <row r="55" spans="1:64" ht="7.5" customHeight="1">
      <c r="A55" s="777"/>
      <c r="B55" s="778"/>
      <c r="C55" s="778"/>
      <c r="D55" s="778"/>
      <c r="E55" s="778"/>
      <c r="F55" s="778"/>
      <c r="G55" s="778"/>
      <c r="H55" s="778"/>
      <c r="I55" s="778"/>
      <c r="J55" s="778"/>
      <c r="K55" s="778"/>
      <c r="L55" s="778"/>
      <c r="M55" s="779"/>
      <c r="N55" s="186"/>
      <c r="O55" s="187"/>
      <c r="P55" s="187"/>
      <c r="Q55" s="187"/>
      <c r="R55" s="187"/>
      <c r="S55" s="187"/>
      <c r="T55" s="187"/>
      <c r="U55" s="187"/>
      <c r="V55" s="187"/>
      <c r="W55" s="187"/>
      <c r="X55" s="187"/>
      <c r="Y55" s="187"/>
      <c r="Z55" s="187"/>
      <c r="AA55" s="188"/>
      <c r="AB55" s="186"/>
      <c r="AC55" s="187"/>
      <c r="AD55" s="187"/>
      <c r="AE55" s="187"/>
      <c r="AF55" s="187"/>
      <c r="AG55" s="187"/>
      <c r="AH55" s="187"/>
      <c r="AI55" s="187"/>
      <c r="AJ55" s="187"/>
      <c r="AK55" s="187"/>
      <c r="AL55" s="187"/>
      <c r="AM55" s="187"/>
      <c r="AN55" s="188"/>
      <c r="AO55" s="811"/>
      <c r="AP55" s="812"/>
      <c r="AQ55" s="812"/>
      <c r="AR55" s="812"/>
      <c r="AS55" s="812"/>
      <c r="AT55" s="812"/>
      <c r="AU55" s="812"/>
      <c r="AV55" s="812"/>
      <c r="AW55" s="812"/>
      <c r="AX55" s="812"/>
      <c r="AY55" s="812"/>
      <c r="AZ55" s="812"/>
      <c r="BA55" s="812"/>
      <c r="BB55" s="812"/>
      <c r="BC55" s="812"/>
      <c r="BD55" s="812"/>
      <c r="BE55" s="812"/>
      <c r="BF55" s="812"/>
      <c r="BG55" s="812"/>
      <c r="BH55" s="812"/>
      <c r="BI55" s="812"/>
      <c r="BJ55" s="812"/>
      <c r="BK55" s="812"/>
      <c r="BL55" s="813"/>
    </row>
    <row r="56" spans="1:64" ht="15" customHeight="1">
      <c r="A56" s="802" t="s">
        <v>70</v>
      </c>
      <c r="B56" s="802"/>
      <c r="C56" s="802"/>
      <c r="D56" s="802"/>
      <c r="E56" s="802"/>
      <c r="F56" s="802"/>
      <c r="G56" s="802"/>
      <c r="H56" s="802"/>
      <c r="I56" s="802"/>
      <c r="J56" s="802"/>
      <c r="K56" s="802"/>
      <c r="L56" s="802"/>
      <c r="M56" s="802"/>
      <c r="N56" s="802"/>
      <c r="O56" s="802"/>
      <c r="P56" s="802"/>
      <c r="Q56" s="802"/>
      <c r="R56" s="802"/>
      <c r="S56" s="802"/>
      <c r="T56" s="802"/>
      <c r="U56" s="802"/>
      <c r="V56" s="802"/>
      <c r="W56" s="802"/>
      <c r="X56" s="802"/>
      <c r="Y56" s="802"/>
      <c r="Z56" s="802"/>
      <c r="AA56" s="802"/>
      <c r="AB56" s="802"/>
      <c r="AC56" s="802"/>
      <c r="AD56" s="802"/>
      <c r="AE56" s="802"/>
      <c r="AF56" s="802"/>
      <c r="AG56" s="802"/>
      <c r="AH56" s="802"/>
      <c r="AI56" s="802"/>
      <c r="AJ56" s="802"/>
      <c r="AK56" s="802"/>
      <c r="AL56" s="802"/>
      <c r="AM56" s="802"/>
      <c r="AN56" s="802"/>
      <c r="AO56" s="802"/>
      <c r="AP56" s="802"/>
      <c r="AQ56" s="802"/>
      <c r="AR56" s="802"/>
      <c r="AS56" s="802"/>
      <c r="AT56" s="802"/>
      <c r="AU56" s="802"/>
      <c r="AV56" s="802"/>
      <c r="AW56" s="802"/>
      <c r="AX56" s="802"/>
      <c r="AY56" s="802"/>
      <c r="AZ56" s="802"/>
      <c r="BA56" s="802"/>
      <c r="BB56" s="802"/>
      <c r="BC56" s="802"/>
      <c r="BD56" s="802"/>
      <c r="BE56" s="802"/>
      <c r="BF56" s="802"/>
      <c r="BG56" s="802"/>
      <c r="BH56" s="802"/>
      <c r="BI56" s="802"/>
      <c r="BJ56" s="802"/>
      <c r="BK56" s="802"/>
      <c r="BL56" s="802"/>
    </row>
  </sheetData>
  <mergeCells count="99">
    <mergeCell ref="A20:C21"/>
    <mergeCell ref="V20:X21"/>
    <mergeCell ref="Y20:AA21"/>
    <mergeCell ref="AB20:AD21"/>
    <mergeCell ref="AE20:AG21"/>
    <mergeCell ref="AH7:BL12"/>
    <mergeCell ref="A9:AG12"/>
    <mergeCell ref="AN2:BL5"/>
    <mergeCell ref="AH13:BL19"/>
    <mergeCell ref="A14:AG15"/>
    <mergeCell ref="A16:P17"/>
    <mergeCell ref="A7:S7"/>
    <mergeCell ref="T7:AG7"/>
    <mergeCell ref="A13:AG13"/>
    <mergeCell ref="A18:AG18"/>
    <mergeCell ref="A19:AG19"/>
    <mergeCell ref="Q16:AG17"/>
    <mergeCell ref="A37:C37"/>
    <mergeCell ref="D37:I37"/>
    <mergeCell ref="AI37:AQ37"/>
    <mergeCell ref="AR22:BL23"/>
    <mergeCell ref="A22:Q22"/>
    <mergeCell ref="R22:U22"/>
    <mergeCell ref="AS29:BL37"/>
    <mergeCell ref="A24:BL24"/>
    <mergeCell ref="A25:BL25"/>
    <mergeCell ref="A26:BL26"/>
    <mergeCell ref="L27:Q27"/>
    <mergeCell ref="M28:Q28"/>
    <mergeCell ref="AS27:BL28"/>
    <mergeCell ref="A29:C36"/>
    <mergeCell ref="D29:I36"/>
    <mergeCell ref="O54:Z54"/>
    <mergeCell ref="AC54:AM54"/>
    <mergeCell ref="A56:BL56"/>
    <mergeCell ref="J27:J28"/>
    <mergeCell ref="J29:J37"/>
    <mergeCell ref="K27:K37"/>
    <mergeCell ref="L29:L37"/>
    <mergeCell ref="R27:R37"/>
    <mergeCell ref="Z27:Z37"/>
    <mergeCell ref="AH27:AH37"/>
    <mergeCell ref="AR27:AR37"/>
    <mergeCell ref="A54:M55"/>
    <mergeCell ref="AO54:BL55"/>
    <mergeCell ref="A46:M47"/>
    <mergeCell ref="AB46:BL47"/>
    <mergeCell ref="A50:M51"/>
    <mergeCell ref="AB53:AG53"/>
    <mergeCell ref="AJ53:AL53"/>
    <mergeCell ref="AP53:AQ53"/>
    <mergeCell ref="AU53:AY53"/>
    <mergeCell ref="BA53:BL53"/>
    <mergeCell ref="O50:Z50"/>
    <mergeCell ref="B52:L52"/>
    <mergeCell ref="O52:Z52"/>
    <mergeCell ref="AC52:AK52"/>
    <mergeCell ref="AO52:AR52"/>
    <mergeCell ref="S38:Y38"/>
    <mergeCell ref="AB48:BL48"/>
    <mergeCell ref="A38:M39"/>
    <mergeCell ref="AI38:AQ39"/>
    <mergeCell ref="AB40:BL41"/>
    <mergeCell ref="AB42:BL43"/>
    <mergeCell ref="AB44:BL45"/>
    <mergeCell ref="M29:Q37"/>
    <mergeCell ref="S29:Y37"/>
    <mergeCell ref="AI27:AQ28"/>
    <mergeCell ref="AA29:AG37"/>
    <mergeCell ref="AI29:AQ36"/>
    <mergeCell ref="S27:Y28"/>
    <mergeCell ref="A27:C28"/>
    <mergeCell ref="D27:I28"/>
    <mergeCell ref="AD22:AG22"/>
    <mergeCell ref="AH22:AQ22"/>
    <mergeCell ref="A23:Q23"/>
    <mergeCell ref="Z23:AG23"/>
    <mergeCell ref="AH23:AQ23"/>
    <mergeCell ref="BE20:BL20"/>
    <mergeCell ref="D21:U21"/>
    <mergeCell ref="AH21:AK21"/>
    <mergeCell ref="AN21:AO21"/>
    <mergeCell ref="AP21:AQ21"/>
    <mergeCell ref="AR21:AS21"/>
    <mergeCell ref="AT21:AU21"/>
    <mergeCell ref="AV21:BD21"/>
    <mergeCell ref="BE21:BL21"/>
    <mergeCell ref="D20:U20"/>
    <mergeCell ref="AH20:AK20"/>
    <mergeCell ref="AN20:AQ20"/>
    <mergeCell ref="AR20:AU20"/>
    <mergeCell ref="AV20:BD20"/>
    <mergeCell ref="AL20:AM21"/>
    <mergeCell ref="A1:C1"/>
    <mergeCell ref="D1:F1"/>
    <mergeCell ref="G1:S1"/>
    <mergeCell ref="AT1:BJ1"/>
    <mergeCell ref="AH6:BL6"/>
    <mergeCell ref="A4:AG6"/>
  </mergeCells>
  <pageMargins left="0.23958333333333301" right="0.23958333333333301" top="0" bottom="0.75" header="0" footer="0.30972222222222201"/>
  <pageSetup paperSize="9" scale="99" orientation="portrait" verticalDpi="20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L56"/>
  <sheetViews>
    <sheetView showGridLines="0" view="pageLayout" topLeftCell="A27" zoomScale="131" zoomScaleNormal="100" zoomScalePageLayoutView="131" workbookViewId="0">
      <selection activeCell="BM32" sqref="A32:XFD32"/>
    </sheetView>
  </sheetViews>
  <sheetFormatPr defaultColWidth="9" defaultRowHeight="15"/>
  <cols>
    <col min="1" max="65" width="1.5703125" customWidth="1"/>
  </cols>
  <sheetData>
    <row r="1" spans="1:64" ht="22.5" customHeight="1">
      <c r="A1" s="267">
        <f>'2'!A1</f>
        <v>126</v>
      </c>
      <c r="B1" s="267"/>
      <c r="C1" s="918"/>
      <c r="D1" s="919" t="s">
        <v>0</v>
      </c>
      <c r="E1" s="458"/>
      <c r="F1" s="920"/>
      <c r="G1" s="702">
        <f>'1'!G1</f>
        <v>91929552</v>
      </c>
      <c r="H1" s="702"/>
      <c r="I1" s="702"/>
      <c r="J1" s="702"/>
      <c r="K1" s="702"/>
      <c r="L1" s="702"/>
      <c r="M1" s="702"/>
      <c r="N1" s="702"/>
      <c r="O1" s="702"/>
      <c r="P1" s="702"/>
      <c r="Q1" s="702"/>
      <c r="R1" s="702"/>
      <c r="S1" s="702"/>
      <c r="AH1" s="112"/>
      <c r="AI1" s="112"/>
      <c r="AJ1" s="112"/>
      <c r="AK1" s="112"/>
      <c r="AL1" s="112"/>
      <c r="AM1" s="112"/>
      <c r="AN1" s="112"/>
      <c r="AO1" s="112"/>
      <c r="AP1" s="112"/>
      <c r="AQ1" s="112"/>
      <c r="AR1" s="112"/>
      <c r="AS1" s="112"/>
      <c r="AT1" s="921" t="str">
        <f>'1'!AT1</f>
        <v>126-91929552</v>
      </c>
      <c r="AU1" s="921"/>
      <c r="AV1" s="921"/>
      <c r="AW1" s="921"/>
      <c r="AX1" s="921"/>
      <c r="AY1" s="921"/>
      <c r="AZ1" s="921"/>
      <c r="BA1" s="921"/>
      <c r="BB1" s="921"/>
      <c r="BC1" s="921"/>
      <c r="BD1" s="921"/>
      <c r="BE1" s="921"/>
      <c r="BF1" s="921"/>
      <c r="BG1" s="921"/>
      <c r="BH1" s="921"/>
      <c r="BI1" s="921"/>
      <c r="BJ1" s="921"/>
      <c r="BK1" s="112"/>
      <c r="BL1" s="112"/>
    </row>
    <row r="2" spans="1:64">
      <c r="A2" s="113" t="s">
        <v>1</v>
      </c>
      <c r="B2" s="114"/>
      <c r="C2" s="114"/>
      <c r="D2" s="114"/>
      <c r="E2" s="114"/>
      <c r="F2" s="115"/>
      <c r="G2" s="114"/>
      <c r="H2" s="114"/>
      <c r="I2" s="114"/>
      <c r="J2" s="114"/>
      <c r="K2" s="114"/>
      <c r="L2" s="114"/>
      <c r="M2" s="114"/>
      <c r="N2" s="114"/>
      <c r="O2" s="114"/>
      <c r="P2" s="114"/>
      <c r="Q2" s="114"/>
      <c r="R2" s="114"/>
      <c r="S2" s="114"/>
      <c r="T2" s="116" t="s">
        <v>2</v>
      </c>
      <c r="U2" s="114"/>
      <c r="V2" s="114"/>
      <c r="W2" s="114"/>
      <c r="X2" s="114"/>
      <c r="Y2" s="114"/>
      <c r="Z2" s="114"/>
      <c r="AA2" s="114"/>
      <c r="AB2" s="114"/>
      <c r="AC2" s="114"/>
      <c r="AD2" s="114"/>
      <c r="AE2" s="114"/>
      <c r="AF2" s="114"/>
      <c r="AG2" s="117"/>
      <c r="AH2" s="118" t="s">
        <v>3</v>
      </c>
      <c r="AI2" s="119"/>
      <c r="AJ2" s="119"/>
      <c r="AK2" s="119"/>
      <c r="AL2" s="119"/>
      <c r="AM2" s="119"/>
      <c r="AN2" s="1124" t="str">
        <f>'2'!AN2</f>
        <v>GARUDA INDONESIA</v>
      </c>
      <c r="AO2" s="1124"/>
      <c r="AP2" s="1124"/>
      <c r="AQ2" s="1124"/>
      <c r="AR2" s="1124"/>
      <c r="AS2" s="1124"/>
      <c r="AT2" s="1124"/>
      <c r="AU2" s="1124"/>
      <c r="AV2" s="1124"/>
      <c r="AW2" s="1124"/>
      <c r="AX2" s="1124"/>
      <c r="AY2" s="1124"/>
      <c r="AZ2" s="1124"/>
      <c r="BA2" s="1124"/>
      <c r="BB2" s="1124"/>
      <c r="BC2" s="1124"/>
      <c r="BD2" s="1124"/>
      <c r="BE2" s="1124"/>
      <c r="BF2" s="1124"/>
      <c r="BG2" s="1124"/>
      <c r="BH2" s="1124"/>
      <c r="BI2" s="1124"/>
      <c r="BJ2" s="1124"/>
      <c r="BK2" s="1124"/>
      <c r="BL2" s="1125"/>
    </row>
    <row r="3" spans="1:64" ht="13.5" customHeight="1">
      <c r="A3" s="120" t="str">
        <f>'1'!A3</f>
        <v>PT. NUR INFINIT INDOALEA GLOBAL</v>
      </c>
      <c r="B3" s="6"/>
      <c r="C3" s="6"/>
      <c r="D3" s="6"/>
      <c r="E3" s="6"/>
      <c r="F3" s="6"/>
      <c r="G3" s="6"/>
      <c r="H3" s="6"/>
      <c r="I3" s="6"/>
      <c r="J3" s="6"/>
      <c r="K3" s="6"/>
      <c r="L3" s="6"/>
      <c r="M3" s="6"/>
      <c r="N3" s="6"/>
      <c r="O3" s="6"/>
      <c r="P3" s="6"/>
      <c r="Q3" s="6"/>
      <c r="R3" s="6"/>
      <c r="S3" s="6"/>
      <c r="T3" s="64"/>
      <c r="U3" s="64"/>
      <c r="V3" s="64"/>
      <c r="W3" s="64"/>
      <c r="X3" s="64"/>
      <c r="Y3" s="64"/>
      <c r="Z3" s="64"/>
      <c r="AA3" s="64"/>
      <c r="AB3" s="64"/>
      <c r="AC3" s="64"/>
      <c r="AD3" s="64"/>
      <c r="AE3" s="64"/>
      <c r="AF3" s="64"/>
      <c r="AG3" s="121"/>
      <c r="AH3" s="122"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1126"/>
    </row>
    <row r="4" spans="1:64">
      <c r="A4" s="1107" t="s">
        <v>71</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1108"/>
      <c r="AH4" s="123"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1126"/>
    </row>
    <row r="5" spans="1:64">
      <c r="A5" s="1109"/>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1108"/>
      <c r="AH5" s="124"/>
      <c r="AI5" s="125"/>
      <c r="AJ5" s="125"/>
      <c r="AK5" s="125"/>
      <c r="AL5" s="125"/>
      <c r="AM5" s="125"/>
      <c r="AN5" s="1127"/>
      <c r="AO5" s="1127"/>
      <c r="AP5" s="1127"/>
      <c r="AQ5" s="1127"/>
      <c r="AR5" s="1127"/>
      <c r="AS5" s="1127"/>
      <c r="AT5" s="1127"/>
      <c r="AU5" s="1127"/>
      <c r="AV5" s="1127"/>
      <c r="AW5" s="1127"/>
      <c r="AX5" s="1127"/>
      <c r="AY5" s="1127"/>
      <c r="AZ5" s="1127"/>
      <c r="BA5" s="1127"/>
      <c r="BB5" s="1127"/>
      <c r="BC5" s="1127"/>
      <c r="BD5" s="1127"/>
      <c r="BE5" s="1127"/>
      <c r="BF5" s="1127"/>
      <c r="BG5" s="1127"/>
      <c r="BH5" s="1127"/>
      <c r="BI5" s="1127"/>
      <c r="BJ5" s="1127"/>
      <c r="BK5" s="1127"/>
      <c r="BL5" s="1128"/>
    </row>
    <row r="6" spans="1:64" ht="18.75" customHeight="1">
      <c r="A6" s="1110"/>
      <c r="B6" s="1111"/>
      <c r="C6" s="1111"/>
      <c r="D6" s="1111"/>
      <c r="E6" s="1111"/>
      <c r="F6" s="1111"/>
      <c r="G6" s="1111"/>
      <c r="H6" s="1111"/>
      <c r="I6" s="1111"/>
      <c r="J6" s="1111"/>
      <c r="K6" s="1111"/>
      <c r="L6" s="1111"/>
      <c r="M6" s="1111"/>
      <c r="N6" s="1111"/>
      <c r="O6" s="1111"/>
      <c r="P6" s="1111"/>
      <c r="Q6" s="1111"/>
      <c r="R6" s="1111"/>
      <c r="S6" s="1111"/>
      <c r="T6" s="1111"/>
      <c r="U6" s="1111"/>
      <c r="V6" s="1111"/>
      <c r="W6" s="1111"/>
      <c r="X6" s="1111"/>
      <c r="Y6" s="1111"/>
      <c r="Z6" s="1111"/>
      <c r="AA6" s="1111"/>
      <c r="AB6" s="1111"/>
      <c r="AC6" s="1111"/>
      <c r="AD6" s="1111"/>
      <c r="AE6" s="1111"/>
      <c r="AF6" s="1111"/>
      <c r="AG6" s="1112"/>
      <c r="AH6" s="922" t="s">
        <v>9</v>
      </c>
      <c r="AI6" s="923"/>
      <c r="AJ6" s="923"/>
      <c r="AK6" s="923"/>
      <c r="AL6" s="923"/>
      <c r="AM6" s="923"/>
      <c r="AN6" s="923"/>
      <c r="AO6" s="923"/>
      <c r="AP6" s="923"/>
      <c r="AQ6" s="923"/>
      <c r="AR6" s="923"/>
      <c r="AS6" s="923"/>
      <c r="AT6" s="923"/>
      <c r="AU6" s="923"/>
      <c r="AV6" s="923"/>
      <c r="AW6" s="923"/>
      <c r="AX6" s="923"/>
      <c r="AY6" s="923"/>
      <c r="AZ6" s="923"/>
      <c r="BA6" s="923"/>
      <c r="BB6" s="923"/>
      <c r="BC6" s="923"/>
      <c r="BD6" s="923"/>
      <c r="BE6" s="923"/>
      <c r="BF6" s="923"/>
      <c r="BG6" s="923"/>
      <c r="BH6" s="923"/>
      <c r="BI6" s="923"/>
      <c r="BJ6" s="923"/>
      <c r="BK6" s="923"/>
      <c r="BL6" s="924"/>
    </row>
    <row r="7" spans="1:64">
      <c r="A7" s="1129" t="s">
        <v>10</v>
      </c>
      <c r="B7" s="990"/>
      <c r="C7" s="990"/>
      <c r="D7" s="990"/>
      <c r="E7" s="990"/>
      <c r="F7" s="990"/>
      <c r="G7" s="990"/>
      <c r="H7" s="990"/>
      <c r="I7" s="990"/>
      <c r="J7" s="990"/>
      <c r="K7" s="990"/>
      <c r="L7" s="990"/>
      <c r="M7" s="990"/>
      <c r="N7" s="990"/>
      <c r="O7" s="990"/>
      <c r="P7" s="990"/>
      <c r="Q7" s="990"/>
      <c r="R7" s="990"/>
      <c r="S7" s="990"/>
      <c r="T7" s="990" t="s">
        <v>11</v>
      </c>
      <c r="U7" s="990"/>
      <c r="V7" s="990"/>
      <c r="W7" s="990"/>
      <c r="X7" s="990"/>
      <c r="Y7" s="990"/>
      <c r="Z7" s="990"/>
      <c r="AA7" s="990"/>
      <c r="AB7" s="990"/>
      <c r="AC7" s="990"/>
      <c r="AD7" s="990"/>
      <c r="AE7" s="990"/>
      <c r="AF7" s="990"/>
      <c r="AG7" s="991"/>
      <c r="AH7" s="1113" t="s">
        <v>12</v>
      </c>
      <c r="AI7" s="1114"/>
      <c r="AJ7" s="1114"/>
      <c r="AK7" s="1114"/>
      <c r="AL7" s="1114"/>
      <c r="AM7" s="1114"/>
      <c r="AN7" s="1114"/>
      <c r="AO7" s="1114"/>
      <c r="AP7" s="1114"/>
      <c r="AQ7" s="1114"/>
      <c r="AR7" s="1114"/>
      <c r="AS7" s="1114"/>
      <c r="AT7" s="1114"/>
      <c r="AU7" s="1114"/>
      <c r="AV7" s="1114"/>
      <c r="AW7" s="1114"/>
      <c r="AX7" s="1114"/>
      <c r="AY7" s="1114"/>
      <c r="AZ7" s="1114"/>
      <c r="BA7" s="1114"/>
      <c r="BB7" s="1114"/>
      <c r="BC7" s="1114"/>
      <c r="BD7" s="1114"/>
      <c r="BE7" s="1114"/>
      <c r="BF7" s="1114"/>
      <c r="BG7" s="1114"/>
      <c r="BH7" s="1114"/>
      <c r="BI7" s="1114"/>
      <c r="BJ7" s="1114"/>
      <c r="BK7" s="1114"/>
      <c r="BL7" s="1115"/>
    </row>
    <row r="8" spans="1:64">
      <c r="A8" s="126" t="str">
        <f>'1'!A8</f>
        <v>LINEHAUL EXPRESS SINGAPORE PTE LTD</v>
      </c>
      <c r="B8" s="15"/>
      <c r="C8" s="15"/>
      <c r="D8" s="15"/>
      <c r="E8" s="15"/>
      <c r="F8" s="15"/>
      <c r="G8" s="15"/>
      <c r="H8" s="15"/>
      <c r="I8" s="15"/>
      <c r="J8" s="15"/>
      <c r="K8" s="15"/>
      <c r="L8" s="15"/>
      <c r="M8" s="15"/>
      <c r="N8" s="15"/>
      <c r="O8" s="15"/>
      <c r="P8" s="15"/>
      <c r="Q8" s="15"/>
      <c r="R8" s="15"/>
      <c r="S8" s="15"/>
      <c r="T8" s="64"/>
      <c r="U8" s="64"/>
      <c r="V8" s="64"/>
      <c r="W8" s="64"/>
      <c r="X8" s="64"/>
      <c r="Y8" s="64"/>
      <c r="Z8" s="64"/>
      <c r="AA8" s="64"/>
      <c r="AB8" s="64"/>
      <c r="AC8" s="64"/>
      <c r="AD8" s="64"/>
      <c r="AE8" s="64"/>
      <c r="AF8" s="64"/>
      <c r="AG8" s="121"/>
      <c r="AH8" s="1116"/>
      <c r="AI8" s="1117"/>
      <c r="AJ8" s="1117"/>
      <c r="AK8" s="1117"/>
      <c r="AL8" s="1117"/>
      <c r="AM8" s="1117"/>
      <c r="AN8" s="1117"/>
      <c r="AO8" s="1117"/>
      <c r="AP8" s="1117"/>
      <c r="AQ8" s="1117"/>
      <c r="AR8" s="1117"/>
      <c r="AS8" s="1117"/>
      <c r="AT8" s="1117"/>
      <c r="AU8" s="1117"/>
      <c r="AV8" s="1117"/>
      <c r="AW8" s="1117"/>
      <c r="AX8" s="1117"/>
      <c r="AY8" s="1117"/>
      <c r="AZ8" s="1117"/>
      <c r="BA8" s="1117"/>
      <c r="BB8" s="1117"/>
      <c r="BC8" s="1117"/>
      <c r="BD8" s="1117"/>
      <c r="BE8" s="1117"/>
      <c r="BF8" s="1117"/>
      <c r="BG8" s="1117"/>
      <c r="BH8" s="1117"/>
      <c r="BI8" s="1117"/>
      <c r="BJ8" s="1117"/>
      <c r="BK8" s="1117"/>
      <c r="BL8" s="1118"/>
    </row>
    <row r="9" spans="1:64">
      <c r="A9" s="1122" t="str">
        <f>'1'!A9</f>
        <v>7 AIRLINE ROAD, 03-12 CARGO AGENT'S BUILDING - E
SINGAPORE - 819834
PHONE +65 65453778</v>
      </c>
      <c r="B9" s="882"/>
      <c r="C9" s="882"/>
      <c r="D9" s="882"/>
      <c r="E9" s="882"/>
      <c r="F9" s="882"/>
      <c r="G9" s="882"/>
      <c r="H9" s="882"/>
      <c r="I9" s="882"/>
      <c r="J9" s="882"/>
      <c r="K9" s="882"/>
      <c r="L9" s="882"/>
      <c r="M9" s="882"/>
      <c r="N9" s="882"/>
      <c r="O9" s="882"/>
      <c r="P9" s="882"/>
      <c r="Q9" s="882"/>
      <c r="R9" s="882"/>
      <c r="S9" s="882"/>
      <c r="T9" s="882"/>
      <c r="U9" s="882"/>
      <c r="V9" s="882"/>
      <c r="W9" s="882"/>
      <c r="X9" s="882"/>
      <c r="Y9" s="882"/>
      <c r="Z9" s="882"/>
      <c r="AA9" s="882"/>
      <c r="AB9" s="882"/>
      <c r="AC9" s="882"/>
      <c r="AD9" s="882"/>
      <c r="AE9" s="882"/>
      <c r="AF9" s="882"/>
      <c r="AG9" s="1021"/>
      <c r="AH9" s="1116"/>
      <c r="AI9" s="1117"/>
      <c r="AJ9" s="1117"/>
      <c r="AK9" s="1117"/>
      <c r="AL9" s="1117"/>
      <c r="AM9" s="1117"/>
      <c r="AN9" s="1117"/>
      <c r="AO9" s="1117"/>
      <c r="AP9" s="1117"/>
      <c r="AQ9" s="1117"/>
      <c r="AR9" s="1117"/>
      <c r="AS9" s="1117"/>
      <c r="AT9" s="1117"/>
      <c r="AU9" s="1117"/>
      <c r="AV9" s="1117"/>
      <c r="AW9" s="1117"/>
      <c r="AX9" s="1117"/>
      <c r="AY9" s="1117"/>
      <c r="AZ9" s="1117"/>
      <c r="BA9" s="1117"/>
      <c r="BB9" s="1117"/>
      <c r="BC9" s="1117"/>
      <c r="BD9" s="1117"/>
      <c r="BE9" s="1117"/>
      <c r="BF9" s="1117"/>
      <c r="BG9" s="1117"/>
      <c r="BH9" s="1117"/>
      <c r="BI9" s="1117"/>
      <c r="BJ9" s="1117"/>
      <c r="BK9" s="1117"/>
      <c r="BL9" s="1118"/>
    </row>
    <row r="10" spans="1:64">
      <c r="A10" s="1123"/>
      <c r="B10" s="882"/>
      <c r="C10" s="882"/>
      <c r="D10" s="882"/>
      <c r="E10" s="882"/>
      <c r="F10" s="882"/>
      <c r="G10" s="882"/>
      <c r="H10" s="882"/>
      <c r="I10" s="882"/>
      <c r="J10" s="882"/>
      <c r="K10" s="882"/>
      <c r="L10" s="882"/>
      <c r="M10" s="882"/>
      <c r="N10" s="882"/>
      <c r="O10" s="882"/>
      <c r="P10" s="882"/>
      <c r="Q10" s="882"/>
      <c r="R10" s="882"/>
      <c r="S10" s="882"/>
      <c r="T10" s="882"/>
      <c r="U10" s="882"/>
      <c r="V10" s="882"/>
      <c r="W10" s="882"/>
      <c r="X10" s="882"/>
      <c r="Y10" s="882"/>
      <c r="Z10" s="882"/>
      <c r="AA10" s="882"/>
      <c r="AB10" s="882"/>
      <c r="AC10" s="882"/>
      <c r="AD10" s="882"/>
      <c r="AE10" s="882"/>
      <c r="AF10" s="882"/>
      <c r="AG10" s="1021"/>
      <c r="AH10" s="1116"/>
      <c r="AI10" s="1117"/>
      <c r="AJ10" s="1117"/>
      <c r="AK10" s="1117"/>
      <c r="AL10" s="1117"/>
      <c r="AM10" s="1117"/>
      <c r="AN10" s="1117"/>
      <c r="AO10" s="1117"/>
      <c r="AP10" s="1117"/>
      <c r="AQ10" s="1117"/>
      <c r="AR10" s="1117"/>
      <c r="AS10" s="1117"/>
      <c r="AT10" s="1117"/>
      <c r="AU10" s="1117"/>
      <c r="AV10" s="1117"/>
      <c r="AW10" s="1117"/>
      <c r="AX10" s="1117"/>
      <c r="AY10" s="1117"/>
      <c r="AZ10" s="1117"/>
      <c r="BA10" s="1117"/>
      <c r="BB10" s="1117"/>
      <c r="BC10" s="1117"/>
      <c r="BD10" s="1117"/>
      <c r="BE10" s="1117"/>
      <c r="BF10" s="1117"/>
      <c r="BG10" s="1117"/>
      <c r="BH10" s="1117"/>
      <c r="BI10" s="1117"/>
      <c r="BJ10" s="1117"/>
      <c r="BK10" s="1117"/>
      <c r="BL10" s="1118"/>
    </row>
    <row r="11" spans="1:64">
      <c r="A11" s="1123"/>
      <c r="B11" s="882"/>
      <c r="C11" s="882"/>
      <c r="D11" s="882"/>
      <c r="E11" s="882"/>
      <c r="F11" s="882"/>
      <c r="G11" s="882"/>
      <c r="H11" s="882"/>
      <c r="I11" s="882"/>
      <c r="J11" s="882"/>
      <c r="K11" s="882"/>
      <c r="L11" s="882"/>
      <c r="M11" s="882"/>
      <c r="N11" s="882"/>
      <c r="O11" s="882"/>
      <c r="P11" s="882"/>
      <c r="Q11" s="882"/>
      <c r="R11" s="882"/>
      <c r="S11" s="882"/>
      <c r="T11" s="882"/>
      <c r="U11" s="882"/>
      <c r="V11" s="882"/>
      <c r="W11" s="882"/>
      <c r="X11" s="882"/>
      <c r="Y11" s="882"/>
      <c r="Z11" s="882"/>
      <c r="AA11" s="882"/>
      <c r="AB11" s="882"/>
      <c r="AC11" s="882"/>
      <c r="AD11" s="882"/>
      <c r="AE11" s="882"/>
      <c r="AF11" s="882"/>
      <c r="AG11" s="1021"/>
      <c r="AH11" s="1116"/>
      <c r="AI11" s="1117"/>
      <c r="AJ11" s="1117"/>
      <c r="AK11" s="1117"/>
      <c r="AL11" s="1117"/>
      <c r="AM11" s="1117"/>
      <c r="AN11" s="1117"/>
      <c r="AO11" s="1117"/>
      <c r="AP11" s="1117"/>
      <c r="AQ11" s="1117"/>
      <c r="AR11" s="1117"/>
      <c r="AS11" s="1117"/>
      <c r="AT11" s="1117"/>
      <c r="AU11" s="1117"/>
      <c r="AV11" s="1117"/>
      <c r="AW11" s="1117"/>
      <c r="AX11" s="1117"/>
      <c r="AY11" s="1117"/>
      <c r="AZ11" s="1117"/>
      <c r="BA11" s="1117"/>
      <c r="BB11" s="1117"/>
      <c r="BC11" s="1117"/>
      <c r="BD11" s="1117"/>
      <c r="BE11" s="1117"/>
      <c r="BF11" s="1117"/>
      <c r="BG11" s="1117"/>
      <c r="BH11" s="1117"/>
      <c r="BI11" s="1117"/>
      <c r="BJ11" s="1117"/>
      <c r="BK11" s="1117"/>
      <c r="BL11" s="1118"/>
    </row>
    <row r="12" spans="1:64">
      <c r="A12" s="1123"/>
      <c r="B12" s="882"/>
      <c r="C12" s="882"/>
      <c r="D12" s="882"/>
      <c r="E12" s="882"/>
      <c r="F12" s="882"/>
      <c r="G12" s="882"/>
      <c r="H12" s="882"/>
      <c r="I12" s="882"/>
      <c r="J12" s="882"/>
      <c r="K12" s="882"/>
      <c r="L12" s="882"/>
      <c r="M12" s="882"/>
      <c r="N12" s="882"/>
      <c r="O12" s="882"/>
      <c r="P12" s="882"/>
      <c r="Q12" s="882"/>
      <c r="R12" s="882"/>
      <c r="S12" s="882"/>
      <c r="T12" s="882"/>
      <c r="U12" s="882"/>
      <c r="V12" s="882"/>
      <c r="W12" s="882"/>
      <c r="X12" s="882"/>
      <c r="Y12" s="882"/>
      <c r="Z12" s="882"/>
      <c r="AA12" s="882"/>
      <c r="AB12" s="882"/>
      <c r="AC12" s="882"/>
      <c r="AD12" s="882"/>
      <c r="AE12" s="882"/>
      <c r="AF12" s="882"/>
      <c r="AG12" s="1021"/>
      <c r="AH12" s="1119"/>
      <c r="AI12" s="1120"/>
      <c r="AJ12" s="1120"/>
      <c r="AK12" s="1120"/>
      <c r="AL12" s="1120"/>
      <c r="AM12" s="1120"/>
      <c r="AN12" s="1120"/>
      <c r="AO12" s="1120"/>
      <c r="AP12" s="1120"/>
      <c r="AQ12" s="1120"/>
      <c r="AR12" s="1120"/>
      <c r="AS12" s="1120"/>
      <c r="AT12" s="1120"/>
      <c r="AU12" s="1120"/>
      <c r="AV12" s="1120"/>
      <c r="AW12" s="1120"/>
      <c r="AX12" s="1120"/>
      <c r="AY12" s="1120"/>
      <c r="AZ12" s="1120"/>
      <c r="BA12" s="1120"/>
      <c r="BB12" s="1120"/>
      <c r="BC12" s="1120"/>
      <c r="BD12" s="1120"/>
      <c r="BE12" s="1120"/>
      <c r="BF12" s="1120"/>
      <c r="BG12" s="1120"/>
      <c r="BH12" s="1120"/>
      <c r="BI12" s="1120"/>
      <c r="BJ12" s="1120"/>
      <c r="BK12" s="1120"/>
      <c r="BL12" s="1121"/>
    </row>
    <row r="13" spans="1:64">
      <c r="A13" s="1129" t="s">
        <v>15</v>
      </c>
      <c r="B13" s="990"/>
      <c r="C13" s="990"/>
      <c r="D13" s="990"/>
      <c r="E13" s="990"/>
      <c r="F13" s="990"/>
      <c r="G13" s="990"/>
      <c r="H13" s="990"/>
      <c r="I13" s="990"/>
      <c r="J13" s="990"/>
      <c r="K13" s="990"/>
      <c r="L13" s="990"/>
      <c r="M13" s="990"/>
      <c r="N13" s="990"/>
      <c r="O13" s="990"/>
      <c r="P13" s="990"/>
      <c r="Q13" s="990"/>
      <c r="R13" s="990"/>
      <c r="S13" s="990"/>
      <c r="T13" s="990"/>
      <c r="U13" s="990"/>
      <c r="V13" s="990"/>
      <c r="W13" s="990"/>
      <c r="X13" s="990"/>
      <c r="Y13" s="990"/>
      <c r="Z13" s="990"/>
      <c r="AA13" s="990"/>
      <c r="AB13" s="990"/>
      <c r="AC13" s="990"/>
      <c r="AD13" s="990"/>
      <c r="AE13" s="990"/>
      <c r="AF13" s="990"/>
      <c r="AG13" s="991"/>
      <c r="AH13" s="1095" t="s">
        <v>16</v>
      </c>
      <c r="AI13" s="989"/>
      <c r="AJ13" s="989"/>
      <c r="AK13" s="989"/>
      <c r="AL13" s="989"/>
      <c r="AM13" s="989"/>
      <c r="AN13" s="989"/>
      <c r="AO13" s="989"/>
      <c r="AP13" s="989"/>
      <c r="AQ13" s="989"/>
      <c r="AR13" s="989"/>
      <c r="AS13" s="989"/>
      <c r="AT13" s="989"/>
      <c r="AU13" s="989"/>
      <c r="AV13" s="989"/>
      <c r="AW13" s="989"/>
      <c r="AX13" s="989"/>
      <c r="AY13" s="989"/>
      <c r="AZ13" s="989"/>
      <c r="BA13" s="989"/>
      <c r="BB13" s="989"/>
      <c r="BC13" s="989"/>
      <c r="BD13" s="989"/>
      <c r="BE13" s="989"/>
      <c r="BF13" s="989"/>
      <c r="BG13" s="989"/>
      <c r="BH13" s="989"/>
      <c r="BI13" s="989"/>
      <c r="BJ13" s="989"/>
      <c r="BK13" s="989"/>
      <c r="BL13" s="1096"/>
    </row>
    <row r="14" spans="1:64">
      <c r="A14" s="1100"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1101"/>
      <c r="AH14" s="988"/>
      <c r="AI14" s="989"/>
      <c r="AJ14" s="989"/>
      <c r="AK14" s="989"/>
      <c r="AL14" s="989"/>
      <c r="AM14" s="989"/>
      <c r="AN14" s="989"/>
      <c r="AO14" s="989"/>
      <c r="AP14" s="989"/>
      <c r="AQ14" s="989"/>
      <c r="AR14" s="989"/>
      <c r="AS14" s="989"/>
      <c r="AT14" s="989"/>
      <c r="AU14" s="989"/>
      <c r="AV14" s="989"/>
      <c r="AW14" s="989"/>
      <c r="AX14" s="989"/>
      <c r="AY14" s="989"/>
      <c r="AZ14" s="989"/>
      <c r="BA14" s="989"/>
      <c r="BB14" s="989"/>
      <c r="BC14" s="989"/>
      <c r="BD14" s="989"/>
      <c r="BE14" s="989"/>
      <c r="BF14" s="989"/>
      <c r="BG14" s="989"/>
      <c r="BH14" s="989"/>
      <c r="BI14" s="989"/>
      <c r="BJ14" s="989"/>
      <c r="BK14" s="989"/>
      <c r="BL14" s="1096"/>
    </row>
    <row r="15" spans="1:64">
      <c r="A15" s="1102"/>
      <c r="B15" s="1103"/>
      <c r="C15" s="1103"/>
      <c r="D15" s="1103"/>
      <c r="E15" s="1103"/>
      <c r="F15" s="1103"/>
      <c r="G15" s="1103"/>
      <c r="H15" s="1103"/>
      <c r="I15" s="1103"/>
      <c r="J15" s="1103"/>
      <c r="K15" s="1103"/>
      <c r="L15" s="1103"/>
      <c r="M15" s="1103"/>
      <c r="N15" s="1103"/>
      <c r="O15" s="1103"/>
      <c r="P15" s="1103"/>
      <c r="Q15" s="1103"/>
      <c r="R15" s="1103"/>
      <c r="S15" s="1103"/>
      <c r="T15" s="1103"/>
      <c r="U15" s="1103"/>
      <c r="V15" s="1103"/>
      <c r="W15" s="1103"/>
      <c r="X15" s="1103"/>
      <c r="Y15" s="1103"/>
      <c r="Z15" s="1103"/>
      <c r="AA15" s="1103"/>
      <c r="AB15" s="1103"/>
      <c r="AC15" s="1103"/>
      <c r="AD15" s="1103"/>
      <c r="AE15" s="1103"/>
      <c r="AF15" s="1103"/>
      <c r="AG15" s="1104"/>
      <c r="AH15" s="988"/>
      <c r="AI15" s="989"/>
      <c r="AJ15" s="989"/>
      <c r="AK15" s="989"/>
      <c r="AL15" s="989"/>
      <c r="AM15" s="989"/>
      <c r="AN15" s="989"/>
      <c r="AO15" s="989"/>
      <c r="AP15" s="989"/>
      <c r="AQ15" s="989"/>
      <c r="AR15" s="989"/>
      <c r="AS15" s="989"/>
      <c r="AT15" s="989"/>
      <c r="AU15" s="989"/>
      <c r="AV15" s="989"/>
      <c r="AW15" s="989"/>
      <c r="AX15" s="989"/>
      <c r="AY15" s="989"/>
      <c r="AZ15" s="989"/>
      <c r="BA15" s="989"/>
      <c r="BB15" s="989"/>
      <c r="BC15" s="989"/>
      <c r="BD15" s="989"/>
      <c r="BE15" s="989"/>
      <c r="BF15" s="989"/>
      <c r="BG15" s="989"/>
      <c r="BH15" s="989"/>
      <c r="BI15" s="989"/>
      <c r="BJ15" s="989"/>
      <c r="BK15" s="989"/>
      <c r="BL15" s="1096"/>
    </row>
    <row r="16" spans="1:64">
      <c r="A16" s="1078" t="s">
        <v>18</v>
      </c>
      <c r="B16" s="1073"/>
      <c r="C16" s="1073"/>
      <c r="D16" s="1073"/>
      <c r="E16" s="1073"/>
      <c r="F16" s="1073"/>
      <c r="G16" s="1073"/>
      <c r="H16" s="1073"/>
      <c r="I16" s="1073"/>
      <c r="J16" s="1073"/>
      <c r="K16" s="1073"/>
      <c r="L16" s="1073"/>
      <c r="M16" s="1073"/>
      <c r="N16" s="1073"/>
      <c r="O16" s="1073"/>
      <c r="P16" s="1074"/>
      <c r="Q16" s="1105" t="s">
        <v>19</v>
      </c>
      <c r="R16" s="1073"/>
      <c r="S16" s="1073"/>
      <c r="T16" s="1073"/>
      <c r="U16" s="1073"/>
      <c r="V16" s="1073"/>
      <c r="W16" s="1073"/>
      <c r="X16" s="1073"/>
      <c r="Y16" s="1073"/>
      <c r="Z16" s="1073"/>
      <c r="AA16" s="1073"/>
      <c r="AB16" s="1073"/>
      <c r="AC16" s="1073"/>
      <c r="AD16" s="1073"/>
      <c r="AE16" s="1073"/>
      <c r="AF16" s="1073"/>
      <c r="AG16" s="1074"/>
      <c r="AH16" s="988"/>
      <c r="AI16" s="989"/>
      <c r="AJ16" s="989"/>
      <c r="AK16" s="989"/>
      <c r="AL16" s="989"/>
      <c r="AM16" s="989"/>
      <c r="AN16" s="989"/>
      <c r="AO16" s="989"/>
      <c r="AP16" s="989"/>
      <c r="AQ16" s="989"/>
      <c r="AR16" s="989"/>
      <c r="AS16" s="989"/>
      <c r="AT16" s="989"/>
      <c r="AU16" s="989"/>
      <c r="AV16" s="989"/>
      <c r="AW16" s="989"/>
      <c r="AX16" s="989"/>
      <c r="AY16" s="989"/>
      <c r="AZ16" s="989"/>
      <c r="BA16" s="989"/>
      <c r="BB16" s="989"/>
      <c r="BC16" s="989"/>
      <c r="BD16" s="989"/>
      <c r="BE16" s="989"/>
      <c r="BF16" s="989"/>
      <c r="BG16" s="989"/>
      <c r="BH16" s="989"/>
      <c r="BI16" s="989"/>
      <c r="BJ16" s="989"/>
      <c r="BK16" s="989"/>
      <c r="BL16" s="1096"/>
    </row>
    <row r="17" spans="1:64">
      <c r="A17" s="1075"/>
      <c r="B17" s="1076"/>
      <c r="C17" s="1076"/>
      <c r="D17" s="1076"/>
      <c r="E17" s="1076"/>
      <c r="F17" s="1076"/>
      <c r="G17" s="1076"/>
      <c r="H17" s="1076"/>
      <c r="I17" s="1076"/>
      <c r="J17" s="1076"/>
      <c r="K17" s="1076"/>
      <c r="L17" s="1076"/>
      <c r="M17" s="1076"/>
      <c r="N17" s="1076"/>
      <c r="O17" s="1076"/>
      <c r="P17" s="1077"/>
      <c r="Q17" s="1106"/>
      <c r="R17" s="1076"/>
      <c r="S17" s="1076"/>
      <c r="T17" s="1076"/>
      <c r="U17" s="1076"/>
      <c r="V17" s="1076"/>
      <c r="W17" s="1076"/>
      <c r="X17" s="1076"/>
      <c r="Y17" s="1076"/>
      <c r="Z17" s="1076"/>
      <c r="AA17" s="1076"/>
      <c r="AB17" s="1076"/>
      <c r="AC17" s="1076"/>
      <c r="AD17" s="1076"/>
      <c r="AE17" s="1076"/>
      <c r="AF17" s="1076"/>
      <c r="AG17" s="1077"/>
      <c r="AH17" s="988"/>
      <c r="AI17" s="989"/>
      <c r="AJ17" s="989"/>
      <c r="AK17" s="989"/>
      <c r="AL17" s="989"/>
      <c r="AM17" s="989"/>
      <c r="AN17" s="989"/>
      <c r="AO17" s="989"/>
      <c r="AP17" s="989"/>
      <c r="AQ17" s="989"/>
      <c r="AR17" s="989"/>
      <c r="AS17" s="989"/>
      <c r="AT17" s="989"/>
      <c r="AU17" s="989"/>
      <c r="AV17" s="989"/>
      <c r="AW17" s="989"/>
      <c r="AX17" s="989"/>
      <c r="AY17" s="989"/>
      <c r="AZ17" s="989"/>
      <c r="BA17" s="989"/>
      <c r="BB17" s="989"/>
      <c r="BC17" s="989"/>
      <c r="BD17" s="989"/>
      <c r="BE17" s="989"/>
      <c r="BF17" s="989"/>
      <c r="BG17" s="989"/>
      <c r="BH17" s="989"/>
      <c r="BI17" s="989"/>
      <c r="BJ17" s="989"/>
      <c r="BK17" s="989"/>
      <c r="BL17" s="1096"/>
    </row>
    <row r="18" spans="1:64">
      <c r="A18" s="1129" t="s">
        <v>20</v>
      </c>
      <c r="B18" s="990"/>
      <c r="C18" s="990"/>
      <c r="D18" s="990"/>
      <c r="E18" s="990"/>
      <c r="F18" s="990"/>
      <c r="G18" s="990"/>
      <c r="H18" s="990"/>
      <c r="I18" s="990"/>
      <c r="J18" s="990"/>
      <c r="K18" s="990"/>
      <c r="L18" s="990"/>
      <c r="M18" s="990"/>
      <c r="N18" s="990"/>
      <c r="O18" s="990"/>
      <c r="P18" s="990"/>
      <c r="Q18" s="990"/>
      <c r="R18" s="990"/>
      <c r="S18" s="990"/>
      <c r="T18" s="990"/>
      <c r="U18" s="990"/>
      <c r="V18" s="990"/>
      <c r="W18" s="990"/>
      <c r="X18" s="990"/>
      <c r="Y18" s="990"/>
      <c r="Z18" s="990"/>
      <c r="AA18" s="990"/>
      <c r="AB18" s="990"/>
      <c r="AC18" s="990"/>
      <c r="AD18" s="990"/>
      <c r="AE18" s="990"/>
      <c r="AF18" s="990"/>
      <c r="AG18" s="991"/>
      <c r="AH18" s="988"/>
      <c r="AI18" s="989"/>
      <c r="AJ18" s="989"/>
      <c r="AK18" s="989"/>
      <c r="AL18" s="989"/>
      <c r="AM18" s="989"/>
      <c r="AN18" s="989"/>
      <c r="AO18" s="989"/>
      <c r="AP18" s="989"/>
      <c r="AQ18" s="989"/>
      <c r="AR18" s="989"/>
      <c r="AS18" s="989"/>
      <c r="AT18" s="989"/>
      <c r="AU18" s="989"/>
      <c r="AV18" s="989"/>
      <c r="AW18" s="989"/>
      <c r="AX18" s="989"/>
      <c r="AY18" s="989"/>
      <c r="AZ18" s="989"/>
      <c r="BA18" s="989"/>
      <c r="BB18" s="989"/>
      <c r="BC18" s="989"/>
      <c r="BD18" s="989"/>
      <c r="BE18" s="989"/>
      <c r="BF18" s="989"/>
      <c r="BG18" s="989"/>
      <c r="BH18" s="989"/>
      <c r="BI18" s="989"/>
      <c r="BJ18" s="989"/>
      <c r="BK18" s="989"/>
      <c r="BL18" s="1096"/>
    </row>
    <row r="19" spans="1:64">
      <c r="A19" s="1102" t="str">
        <f>'1'!A19</f>
        <v>SOEKARNO-HATTA INTERNATIONAL AIRPORT</v>
      </c>
      <c r="B19" s="1103"/>
      <c r="C19" s="1103"/>
      <c r="D19" s="1103"/>
      <c r="E19" s="1103"/>
      <c r="F19" s="1103"/>
      <c r="G19" s="1103"/>
      <c r="H19" s="1103"/>
      <c r="I19" s="1103"/>
      <c r="J19" s="1103"/>
      <c r="K19" s="1103"/>
      <c r="L19" s="1103"/>
      <c r="M19" s="1103"/>
      <c r="N19" s="1103"/>
      <c r="O19" s="1103"/>
      <c r="P19" s="1103"/>
      <c r="Q19" s="1103"/>
      <c r="R19" s="1103"/>
      <c r="S19" s="1103"/>
      <c r="T19" s="1103"/>
      <c r="U19" s="1103"/>
      <c r="V19" s="1103"/>
      <c r="W19" s="1103"/>
      <c r="X19" s="1103"/>
      <c r="Y19" s="1103"/>
      <c r="Z19" s="1103"/>
      <c r="AA19" s="1103"/>
      <c r="AB19" s="1103"/>
      <c r="AC19" s="1103"/>
      <c r="AD19" s="1103"/>
      <c r="AE19" s="1103"/>
      <c r="AF19" s="1103"/>
      <c r="AG19" s="1104"/>
      <c r="AH19" s="1097"/>
      <c r="AI19" s="1098"/>
      <c r="AJ19" s="1098"/>
      <c r="AK19" s="1098"/>
      <c r="AL19" s="1098"/>
      <c r="AM19" s="1098"/>
      <c r="AN19" s="1098"/>
      <c r="AO19" s="1098"/>
      <c r="AP19" s="1098"/>
      <c r="AQ19" s="1098"/>
      <c r="AR19" s="1098"/>
      <c r="AS19" s="1098"/>
      <c r="AT19" s="1098"/>
      <c r="AU19" s="1098"/>
      <c r="AV19" s="1098"/>
      <c r="AW19" s="1098"/>
      <c r="AX19" s="1098"/>
      <c r="AY19" s="1098"/>
      <c r="AZ19" s="1098"/>
      <c r="BA19" s="1098"/>
      <c r="BB19" s="1098"/>
      <c r="BC19" s="1098"/>
      <c r="BD19" s="1098"/>
      <c r="BE19" s="1098"/>
      <c r="BF19" s="1098"/>
      <c r="BG19" s="1098"/>
      <c r="BH19" s="1098"/>
      <c r="BI19" s="1098"/>
      <c r="BJ19" s="1098"/>
      <c r="BK19" s="1098"/>
      <c r="BL19" s="1099"/>
    </row>
    <row r="20" spans="1:64" ht="15" customHeight="1">
      <c r="A20" s="1067" t="str">
        <f>'1'!A20</f>
        <v>SIN</v>
      </c>
      <c r="B20" s="1068"/>
      <c r="C20" s="1069"/>
      <c r="D20" s="947" t="s">
        <v>23</v>
      </c>
      <c r="E20" s="948"/>
      <c r="F20" s="948"/>
      <c r="G20" s="948"/>
      <c r="H20" s="948"/>
      <c r="I20" s="948"/>
      <c r="J20" s="948"/>
      <c r="K20" s="948"/>
      <c r="L20" s="948"/>
      <c r="M20" s="948"/>
      <c r="N20" s="948"/>
      <c r="O20" s="948"/>
      <c r="P20" s="948"/>
      <c r="Q20" s="948"/>
      <c r="R20" s="948"/>
      <c r="S20" s="948"/>
      <c r="T20" s="948"/>
      <c r="U20" s="949"/>
      <c r="V20" s="1072" t="s">
        <v>26</v>
      </c>
      <c r="W20" s="1073"/>
      <c r="X20" s="1074"/>
      <c r="Y20" s="1072" t="s">
        <v>27</v>
      </c>
      <c r="Z20" s="1073"/>
      <c r="AA20" s="1074"/>
      <c r="AB20" s="1078" t="s">
        <v>26</v>
      </c>
      <c r="AC20" s="1073"/>
      <c r="AD20" s="1074"/>
      <c r="AE20" s="1078" t="s">
        <v>27</v>
      </c>
      <c r="AF20" s="1073"/>
      <c r="AG20" s="1074"/>
      <c r="AH20" s="927" t="s">
        <v>28</v>
      </c>
      <c r="AI20" s="928"/>
      <c r="AJ20" s="928"/>
      <c r="AK20" s="929"/>
      <c r="AL20" s="1079" t="s">
        <v>29</v>
      </c>
      <c r="AM20" s="1080"/>
      <c r="AN20" s="950" t="s">
        <v>30</v>
      </c>
      <c r="AO20" s="951"/>
      <c r="AP20" s="951"/>
      <c r="AQ20" s="952"/>
      <c r="AR20" s="950" t="s">
        <v>31</v>
      </c>
      <c r="AS20" s="951"/>
      <c r="AT20" s="951"/>
      <c r="AU20" s="952"/>
      <c r="AV20" s="953" t="s">
        <v>32</v>
      </c>
      <c r="AW20" s="953"/>
      <c r="AX20" s="953"/>
      <c r="AY20" s="953"/>
      <c r="AZ20" s="953"/>
      <c r="BA20" s="953"/>
      <c r="BB20" s="953"/>
      <c r="BC20" s="953"/>
      <c r="BD20" s="953"/>
      <c r="BE20" s="930" t="s">
        <v>33</v>
      </c>
      <c r="BF20" s="931"/>
      <c r="BG20" s="931"/>
      <c r="BH20" s="931"/>
      <c r="BI20" s="931"/>
      <c r="BJ20" s="931"/>
      <c r="BK20" s="931"/>
      <c r="BL20" s="932"/>
    </row>
    <row r="21" spans="1:64">
      <c r="A21" s="1070"/>
      <c r="B21" s="414"/>
      <c r="C21" s="1071"/>
      <c r="D21" s="933" t="str">
        <f>'1'!D21</f>
        <v>GARUDA INDONESIA</v>
      </c>
      <c r="E21" s="283"/>
      <c r="F21" s="283"/>
      <c r="G21" s="283"/>
      <c r="H21" s="283"/>
      <c r="I21" s="283"/>
      <c r="J21" s="283"/>
      <c r="K21" s="283"/>
      <c r="L21" s="283"/>
      <c r="M21" s="283"/>
      <c r="N21" s="283"/>
      <c r="O21" s="283"/>
      <c r="P21" s="283"/>
      <c r="Q21" s="283"/>
      <c r="R21" s="934"/>
      <c r="S21" s="934"/>
      <c r="T21" s="934"/>
      <c r="U21" s="935"/>
      <c r="V21" s="1075"/>
      <c r="W21" s="1076"/>
      <c r="X21" s="1077"/>
      <c r="Y21" s="1075"/>
      <c r="Z21" s="1076"/>
      <c r="AA21" s="1077"/>
      <c r="AB21" s="1075"/>
      <c r="AC21" s="1076"/>
      <c r="AD21" s="1077"/>
      <c r="AE21" s="1075"/>
      <c r="AF21" s="1076"/>
      <c r="AG21" s="1077"/>
      <c r="AH21" s="936" t="str">
        <f>'1'!AH21</f>
        <v>IDR</v>
      </c>
      <c r="AI21" s="937"/>
      <c r="AJ21" s="937"/>
      <c r="AK21" s="938"/>
      <c r="AL21" s="1081"/>
      <c r="AM21" s="1082"/>
      <c r="AN21" s="939" t="s">
        <v>72</v>
      </c>
      <c r="AO21" s="940"/>
      <c r="AP21" s="941" t="s">
        <v>73</v>
      </c>
      <c r="AQ21" s="942"/>
      <c r="AR21" s="939" t="s">
        <v>72</v>
      </c>
      <c r="AS21" s="940"/>
      <c r="AT21" s="943" t="s">
        <v>36</v>
      </c>
      <c r="AU21" s="942"/>
      <c r="AV21" s="944" t="str">
        <f>'1'!AV21</f>
        <v>NVD</v>
      </c>
      <c r="AW21" s="944"/>
      <c r="AX21" s="944"/>
      <c r="AY21" s="944"/>
      <c r="AZ21" s="944"/>
      <c r="BA21" s="944"/>
      <c r="BB21" s="944"/>
      <c r="BC21" s="944"/>
      <c r="BD21" s="944"/>
      <c r="BE21" s="945" t="str">
        <f>'1'!BE21</f>
        <v>NCV</v>
      </c>
      <c r="BF21" s="944"/>
      <c r="BG21" s="944"/>
      <c r="BH21" s="944"/>
      <c r="BI21" s="944"/>
      <c r="BJ21" s="944"/>
      <c r="BK21" s="944"/>
      <c r="BL21" s="946"/>
    </row>
    <row r="22" spans="1:64">
      <c r="A22" s="1092" t="s">
        <v>39</v>
      </c>
      <c r="B22" s="1093"/>
      <c r="C22" s="1093"/>
      <c r="D22" s="1093"/>
      <c r="E22" s="1093"/>
      <c r="F22" s="1093"/>
      <c r="G22" s="1093"/>
      <c r="H22" s="1093"/>
      <c r="I22" s="1093"/>
      <c r="J22" s="1093"/>
      <c r="K22" s="1093"/>
      <c r="L22" s="1093"/>
      <c r="M22" s="1093"/>
      <c r="N22" s="1093"/>
      <c r="O22" s="1093"/>
      <c r="P22" s="1093"/>
      <c r="Q22" s="1094"/>
      <c r="R22" s="925" t="s">
        <v>40</v>
      </c>
      <c r="S22" s="925"/>
      <c r="T22" s="925"/>
      <c r="U22" s="925"/>
      <c r="V22" s="925"/>
      <c r="W22" s="925"/>
      <c r="X22" s="925"/>
      <c r="Y22" s="925"/>
      <c r="Z22" s="925"/>
      <c r="AA22" s="925"/>
      <c r="AB22" s="925"/>
      <c r="AC22" s="925"/>
      <c r="AD22" s="925" t="s">
        <v>40</v>
      </c>
      <c r="AE22" s="925"/>
      <c r="AF22" s="925"/>
      <c r="AG22" s="926"/>
      <c r="AH22" s="927" t="s">
        <v>41</v>
      </c>
      <c r="AI22" s="928"/>
      <c r="AJ22" s="928"/>
      <c r="AK22" s="928"/>
      <c r="AL22" s="928"/>
      <c r="AM22" s="928"/>
      <c r="AN22" s="928"/>
      <c r="AO22" s="928"/>
      <c r="AP22" s="928"/>
      <c r="AQ22" s="929"/>
      <c r="AR22" s="1059" t="s">
        <v>42</v>
      </c>
      <c r="AS22" s="1060"/>
      <c r="AT22" s="1060"/>
      <c r="AU22" s="1060"/>
      <c r="AV22" s="1060"/>
      <c r="AW22" s="1060"/>
      <c r="AX22" s="1060"/>
      <c r="AY22" s="1060"/>
      <c r="AZ22" s="1060"/>
      <c r="BA22" s="1060"/>
      <c r="BB22" s="1060"/>
      <c r="BC22" s="1060"/>
      <c r="BD22" s="1060"/>
      <c r="BE22" s="1060"/>
      <c r="BF22" s="1060"/>
      <c r="BG22" s="1060"/>
      <c r="BH22" s="1060"/>
      <c r="BI22" s="1060"/>
      <c r="BJ22" s="1060"/>
      <c r="BK22" s="1060"/>
      <c r="BL22" s="1061"/>
    </row>
    <row r="23" spans="1:64">
      <c r="A23" s="982" t="str">
        <f>'1'!A23</f>
        <v>SINGAPORE</v>
      </c>
      <c r="B23" s="983"/>
      <c r="C23" s="983"/>
      <c r="D23" s="983"/>
      <c r="E23" s="983"/>
      <c r="F23" s="983"/>
      <c r="G23" s="983"/>
      <c r="H23" s="983"/>
      <c r="I23" s="983"/>
      <c r="J23" s="983"/>
      <c r="K23" s="983"/>
      <c r="L23" s="983"/>
      <c r="M23" s="983"/>
      <c r="N23" s="983"/>
      <c r="O23" s="983"/>
      <c r="P23" s="983"/>
      <c r="Q23" s="984"/>
      <c r="R23" s="127" t="str">
        <f>'2'!R23</f>
        <v>GA 824</v>
      </c>
      <c r="S23" s="127"/>
      <c r="T23" s="128"/>
      <c r="U23" s="128"/>
      <c r="V23" s="128"/>
      <c r="W23" s="128"/>
      <c r="X23" s="128"/>
      <c r="Y23" s="129"/>
      <c r="Z23" s="985">
        <f>'2'!Z23</f>
        <v>46171</v>
      </c>
      <c r="AA23" s="986"/>
      <c r="AB23" s="986"/>
      <c r="AC23" s="986"/>
      <c r="AD23" s="986"/>
      <c r="AE23" s="986"/>
      <c r="AF23" s="986"/>
      <c r="AG23" s="987"/>
      <c r="AH23" s="936" t="s">
        <v>45</v>
      </c>
      <c r="AI23" s="937"/>
      <c r="AJ23" s="937"/>
      <c r="AK23" s="937"/>
      <c r="AL23" s="937"/>
      <c r="AM23" s="937"/>
      <c r="AN23" s="937"/>
      <c r="AO23" s="937"/>
      <c r="AP23" s="937"/>
      <c r="AQ23" s="938"/>
      <c r="AR23" s="1062"/>
      <c r="AS23" s="1063"/>
      <c r="AT23" s="1063"/>
      <c r="AU23" s="1063"/>
      <c r="AV23" s="1063"/>
      <c r="AW23" s="1063"/>
      <c r="AX23" s="1063"/>
      <c r="AY23" s="1063"/>
      <c r="AZ23" s="1063"/>
      <c r="BA23" s="1063"/>
      <c r="BB23" s="1063"/>
      <c r="BC23" s="1063"/>
      <c r="BD23" s="1063"/>
      <c r="BE23" s="1063"/>
      <c r="BF23" s="1063"/>
      <c r="BG23" s="1063"/>
      <c r="BH23" s="1063"/>
      <c r="BI23" s="1063"/>
      <c r="BJ23" s="1063"/>
      <c r="BK23" s="1063"/>
      <c r="BL23" s="1064"/>
    </row>
    <row r="24" spans="1:64">
      <c r="A24" s="988" t="s">
        <v>46</v>
      </c>
      <c r="B24" s="989"/>
      <c r="C24" s="989"/>
      <c r="D24" s="989"/>
      <c r="E24" s="989"/>
      <c r="F24" s="989"/>
      <c r="G24" s="989"/>
      <c r="H24" s="989"/>
      <c r="I24" s="989"/>
      <c r="J24" s="989"/>
      <c r="K24" s="989"/>
      <c r="L24" s="989"/>
      <c r="M24" s="989"/>
      <c r="N24" s="989"/>
      <c r="O24" s="989"/>
      <c r="P24" s="989"/>
      <c r="Q24" s="989"/>
      <c r="R24" s="990"/>
      <c r="S24" s="990"/>
      <c r="T24" s="990"/>
      <c r="U24" s="990"/>
      <c r="V24" s="990"/>
      <c r="W24" s="990"/>
      <c r="X24" s="990"/>
      <c r="Y24" s="990"/>
      <c r="Z24" s="990"/>
      <c r="AA24" s="990"/>
      <c r="AB24" s="990"/>
      <c r="AC24" s="990"/>
      <c r="AD24" s="990"/>
      <c r="AE24" s="990"/>
      <c r="AF24" s="990"/>
      <c r="AG24" s="990"/>
      <c r="AH24" s="990"/>
      <c r="AI24" s="990"/>
      <c r="AJ24" s="990"/>
      <c r="AK24" s="990"/>
      <c r="AL24" s="990"/>
      <c r="AM24" s="990"/>
      <c r="AN24" s="990"/>
      <c r="AO24" s="990"/>
      <c r="AP24" s="990"/>
      <c r="AQ24" s="990"/>
      <c r="AR24" s="990"/>
      <c r="AS24" s="990"/>
      <c r="AT24" s="990"/>
      <c r="AU24" s="990"/>
      <c r="AV24" s="990"/>
      <c r="AW24" s="990"/>
      <c r="AX24" s="990"/>
      <c r="AY24" s="990"/>
      <c r="AZ24" s="990"/>
      <c r="BA24" s="990"/>
      <c r="BB24" s="990"/>
      <c r="BC24" s="990"/>
      <c r="BD24" s="990"/>
      <c r="BE24" s="990"/>
      <c r="BF24" s="990"/>
      <c r="BG24" s="990"/>
      <c r="BH24" s="990"/>
      <c r="BI24" s="990"/>
      <c r="BJ24" s="990"/>
      <c r="BK24" s="990"/>
      <c r="BL24" s="991"/>
    </row>
    <row r="25" spans="1:64" ht="15" customHeight="1">
      <c r="A25" s="992"/>
      <c r="B25" s="993"/>
      <c r="C25" s="993"/>
      <c r="D25" s="993"/>
      <c r="E25" s="993"/>
      <c r="F25" s="993"/>
      <c r="G25" s="993"/>
      <c r="H25" s="993"/>
      <c r="I25" s="993"/>
      <c r="J25" s="993"/>
      <c r="K25" s="993"/>
      <c r="L25" s="993"/>
      <c r="M25" s="993"/>
      <c r="N25" s="993"/>
      <c r="O25" s="993"/>
      <c r="P25" s="993"/>
      <c r="Q25" s="993"/>
      <c r="R25" s="993"/>
      <c r="S25" s="993"/>
      <c r="T25" s="993"/>
      <c r="U25" s="993"/>
      <c r="V25" s="993"/>
      <c r="W25" s="993"/>
      <c r="X25" s="993"/>
      <c r="Y25" s="993"/>
      <c r="Z25" s="993"/>
      <c r="AA25" s="993"/>
      <c r="AB25" s="993"/>
      <c r="AC25" s="993"/>
      <c r="AD25" s="993"/>
      <c r="AE25" s="993"/>
      <c r="AF25" s="993"/>
      <c r="AG25" s="993"/>
      <c r="AH25" s="993"/>
      <c r="AI25" s="993"/>
      <c r="AJ25" s="993"/>
      <c r="AK25" s="993"/>
      <c r="AL25" s="993"/>
      <c r="AM25" s="993"/>
      <c r="AN25" s="993"/>
      <c r="AO25" s="993"/>
      <c r="AP25" s="993"/>
      <c r="AQ25" s="993"/>
      <c r="AR25" s="993"/>
      <c r="AS25" s="993"/>
      <c r="AT25" s="993"/>
      <c r="AU25" s="993"/>
      <c r="AV25" s="993"/>
      <c r="AW25" s="993"/>
      <c r="AX25" s="993"/>
      <c r="AY25" s="993"/>
      <c r="AZ25" s="993"/>
      <c r="BA25" s="993"/>
      <c r="BB25" s="993"/>
      <c r="BC25" s="993"/>
      <c r="BD25" s="993"/>
      <c r="BE25" s="993"/>
      <c r="BF25" s="993"/>
      <c r="BG25" s="993"/>
      <c r="BH25" s="993"/>
      <c r="BI25" s="993"/>
      <c r="BJ25" s="993"/>
      <c r="BK25" s="993"/>
      <c r="BL25" s="994"/>
    </row>
    <row r="26" spans="1:64">
      <c r="A26" s="1083"/>
      <c r="B26" s="1084"/>
      <c r="C26" s="1084"/>
      <c r="D26" s="1084"/>
      <c r="E26" s="1084"/>
      <c r="F26" s="1084"/>
      <c r="G26" s="1084"/>
      <c r="H26" s="1084"/>
      <c r="I26" s="1084"/>
      <c r="J26" s="1084"/>
      <c r="K26" s="1084"/>
      <c r="L26" s="1084"/>
      <c r="M26" s="1084"/>
      <c r="N26" s="1084"/>
      <c r="O26" s="1084"/>
      <c r="P26" s="1084"/>
      <c r="Q26" s="1084"/>
      <c r="R26" s="1084"/>
      <c r="S26" s="1084"/>
      <c r="T26" s="1084"/>
      <c r="U26" s="1084"/>
      <c r="V26" s="1084"/>
      <c r="W26" s="1084"/>
      <c r="X26" s="1084"/>
      <c r="Y26" s="1084"/>
      <c r="Z26" s="1084"/>
      <c r="AA26" s="1084"/>
      <c r="AB26" s="1084"/>
      <c r="AC26" s="1084"/>
      <c r="AD26" s="1084"/>
      <c r="AE26" s="1084"/>
      <c r="AF26" s="1084"/>
      <c r="AG26" s="1084"/>
      <c r="AH26" s="1084"/>
      <c r="AI26" s="1084"/>
      <c r="AJ26" s="1084"/>
      <c r="AK26" s="1084"/>
      <c r="AL26" s="1084"/>
      <c r="AM26" s="1084"/>
      <c r="AN26" s="1084"/>
      <c r="AO26" s="1084"/>
      <c r="AP26" s="1084"/>
      <c r="AQ26" s="1084"/>
      <c r="AR26" s="1084"/>
      <c r="AS26" s="1084"/>
      <c r="AT26" s="1084"/>
      <c r="AU26" s="1084"/>
      <c r="AV26" s="1084"/>
      <c r="AW26" s="1084"/>
      <c r="AX26" s="1084"/>
      <c r="AY26" s="1084"/>
      <c r="AZ26" s="1084"/>
      <c r="BA26" s="1084"/>
      <c r="BB26" s="1084"/>
      <c r="BC26" s="1084"/>
      <c r="BD26" s="1084"/>
      <c r="BE26" s="1084"/>
      <c r="BF26" s="1084"/>
      <c r="BG26" s="1084"/>
      <c r="BH26" s="1084"/>
      <c r="BI26" s="1084"/>
      <c r="BJ26" s="1084"/>
      <c r="BK26" s="1084"/>
      <c r="BL26" s="1085"/>
    </row>
    <row r="27" spans="1:64" ht="15.75">
      <c r="A27" s="976" t="s">
        <v>47</v>
      </c>
      <c r="B27" s="977"/>
      <c r="C27" s="978"/>
      <c r="D27" s="976" t="s">
        <v>48</v>
      </c>
      <c r="E27" s="977"/>
      <c r="F27" s="977"/>
      <c r="G27" s="977"/>
      <c r="H27" s="977"/>
      <c r="I27" s="978"/>
      <c r="J27" s="1025" t="s">
        <v>49</v>
      </c>
      <c r="K27" s="1028"/>
      <c r="L27" s="1086" t="s">
        <v>50</v>
      </c>
      <c r="M27" s="1087"/>
      <c r="N27" s="1087"/>
      <c r="O27" s="1087"/>
      <c r="P27" s="1087"/>
      <c r="Q27" s="1088"/>
      <c r="R27" s="1031"/>
      <c r="S27" s="1053" t="s">
        <v>51</v>
      </c>
      <c r="T27" s="1054"/>
      <c r="U27" s="1054"/>
      <c r="V27" s="1054"/>
      <c r="W27" s="1054"/>
      <c r="X27" s="1054"/>
      <c r="Y27" s="1055"/>
      <c r="Z27" s="1031"/>
      <c r="AA27" s="130" t="s">
        <v>52</v>
      </c>
      <c r="AB27" s="131"/>
      <c r="AC27" s="131"/>
      <c r="AD27" s="131"/>
      <c r="AE27" s="131"/>
      <c r="AF27" s="131"/>
      <c r="AG27" s="131"/>
      <c r="AH27" s="1031"/>
      <c r="AI27" s="1053" t="s">
        <v>53</v>
      </c>
      <c r="AJ27" s="1054"/>
      <c r="AK27" s="1054"/>
      <c r="AL27" s="1054"/>
      <c r="AM27" s="1054"/>
      <c r="AN27" s="1054"/>
      <c r="AO27" s="1054"/>
      <c r="AP27" s="1054"/>
      <c r="AQ27" s="1065"/>
      <c r="AR27" s="1031"/>
      <c r="AS27" s="1091" t="s">
        <v>54</v>
      </c>
      <c r="AT27" s="1054"/>
      <c r="AU27" s="1054"/>
      <c r="AV27" s="1054"/>
      <c r="AW27" s="1054"/>
      <c r="AX27" s="1054"/>
      <c r="AY27" s="1054"/>
      <c r="AZ27" s="1054"/>
      <c r="BA27" s="1054"/>
      <c r="BB27" s="1054"/>
      <c r="BC27" s="1054"/>
      <c r="BD27" s="1054"/>
      <c r="BE27" s="1054"/>
      <c r="BF27" s="1054"/>
      <c r="BG27" s="1054"/>
      <c r="BH27" s="1054"/>
      <c r="BI27" s="1054"/>
      <c r="BJ27" s="1054"/>
      <c r="BK27" s="1054"/>
      <c r="BL27" s="1055"/>
    </row>
    <row r="28" spans="1:64" ht="21" customHeight="1">
      <c r="A28" s="979"/>
      <c r="B28" s="980"/>
      <c r="C28" s="981"/>
      <c r="D28" s="979"/>
      <c r="E28" s="980"/>
      <c r="F28" s="980"/>
      <c r="G28" s="980"/>
      <c r="H28" s="980"/>
      <c r="I28" s="981"/>
      <c r="J28" s="1026"/>
      <c r="K28" s="1028"/>
      <c r="L28" s="261"/>
      <c r="M28" s="1089" t="s">
        <v>55</v>
      </c>
      <c r="N28" s="1090"/>
      <c r="O28" s="1090"/>
      <c r="P28" s="1090"/>
      <c r="Q28" s="1090"/>
      <c r="R28" s="1032"/>
      <c r="S28" s="1056"/>
      <c r="T28" s="1057"/>
      <c r="U28" s="1057"/>
      <c r="V28" s="1057"/>
      <c r="W28" s="1057"/>
      <c r="X28" s="1057"/>
      <c r="Y28" s="1058"/>
      <c r="Z28" s="1032"/>
      <c r="AA28" s="132"/>
      <c r="AB28" s="132"/>
      <c r="AC28" s="132"/>
      <c r="AD28" s="132"/>
      <c r="AE28" s="133" t="s">
        <v>56</v>
      </c>
      <c r="AF28" s="132"/>
      <c r="AG28" s="132"/>
      <c r="AH28" s="1032"/>
      <c r="AI28" s="1056"/>
      <c r="AJ28" s="1057"/>
      <c r="AK28" s="1057"/>
      <c r="AL28" s="1057"/>
      <c r="AM28" s="1057"/>
      <c r="AN28" s="1057"/>
      <c r="AO28" s="1057"/>
      <c r="AP28" s="1057"/>
      <c r="AQ28" s="1066"/>
      <c r="AR28" s="1032"/>
      <c r="AS28" s="1056"/>
      <c r="AT28" s="1057"/>
      <c r="AU28" s="1057"/>
      <c r="AV28" s="1057"/>
      <c r="AW28" s="1057"/>
      <c r="AX28" s="1057"/>
      <c r="AY28" s="1057"/>
      <c r="AZ28" s="1057"/>
      <c r="BA28" s="1057"/>
      <c r="BB28" s="1057"/>
      <c r="BC28" s="1057"/>
      <c r="BD28" s="1057"/>
      <c r="BE28" s="1057"/>
      <c r="BF28" s="1057"/>
      <c r="BG28" s="1057"/>
      <c r="BH28" s="1057"/>
      <c r="BI28" s="1057"/>
      <c r="BJ28" s="1057"/>
      <c r="BK28" s="1057"/>
      <c r="BL28" s="1058"/>
    </row>
    <row r="29" spans="1:64">
      <c r="A29" s="959">
        <f>'1'!A29</f>
        <v>23</v>
      </c>
      <c r="B29" s="960"/>
      <c r="C29" s="961"/>
      <c r="D29" s="967">
        <f>'2'!D29</f>
        <v>398</v>
      </c>
      <c r="E29" s="968"/>
      <c r="F29" s="968"/>
      <c r="G29" s="968"/>
      <c r="H29" s="968"/>
      <c r="I29" s="969"/>
      <c r="J29" s="1027" t="s">
        <v>57</v>
      </c>
      <c r="K29" s="1028"/>
      <c r="L29" s="1029" t="s">
        <v>58</v>
      </c>
      <c r="M29" s="975"/>
      <c r="N29" s="975"/>
      <c r="O29" s="975"/>
      <c r="P29" s="975"/>
      <c r="Q29" s="975"/>
      <c r="R29" s="1032"/>
      <c r="S29" s="318">
        <f>'2'!S29</f>
        <v>398</v>
      </c>
      <c r="T29" s="318"/>
      <c r="U29" s="318"/>
      <c r="V29" s="318"/>
      <c r="W29" s="318"/>
      <c r="X29" s="318"/>
      <c r="Y29" s="971"/>
      <c r="Z29" s="1032"/>
      <c r="AA29" s="320">
        <f>'2'!AA29</f>
        <v>16800</v>
      </c>
      <c r="AB29" s="320"/>
      <c r="AC29" s="320"/>
      <c r="AD29" s="320"/>
      <c r="AE29" s="320"/>
      <c r="AF29" s="320"/>
      <c r="AG29" s="318"/>
      <c r="AH29" s="1032"/>
      <c r="AI29" s="346">
        <f>'1'!AI29</f>
        <v>6686400</v>
      </c>
      <c r="AJ29" s="346"/>
      <c r="AK29" s="346"/>
      <c r="AL29" s="346"/>
      <c r="AM29" s="346"/>
      <c r="AN29" s="346"/>
      <c r="AO29" s="346"/>
      <c r="AP29" s="346"/>
      <c r="AQ29" s="346"/>
      <c r="AR29" s="1032"/>
      <c r="AS29" s="1018">
        <f>'2'!AS29</f>
        <v>0</v>
      </c>
      <c r="AT29" s="1019"/>
      <c r="AU29" s="1019"/>
      <c r="AV29" s="1019"/>
      <c r="AW29" s="1019"/>
      <c r="AX29" s="1019"/>
      <c r="AY29" s="1019"/>
      <c r="AZ29" s="1019"/>
      <c r="BA29" s="1019"/>
      <c r="BB29" s="1019"/>
      <c r="BC29" s="1019"/>
      <c r="BD29" s="1019"/>
      <c r="BE29" s="1019"/>
      <c r="BF29" s="1019"/>
      <c r="BG29" s="1019"/>
      <c r="BH29" s="1019"/>
      <c r="BI29" s="1019"/>
      <c r="BJ29" s="1019"/>
      <c r="BK29" s="1019"/>
      <c r="BL29" s="1020"/>
    </row>
    <row r="30" spans="1:64">
      <c r="A30" s="962"/>
      <c r="B30" s="308"/>
      <c r="C30" s="963"/>
      <c r="D30" s="970"/>
      <c r="E30" s="318"/>
      <c r="F30" s="318"/>
      <c r="G30" s="318"/>
      <c r="H30" s="318"/>
      <c r="I30" s="971"/>
      <c r="J30" s="1027"/>
      <c r="K30" s="1028"/>
      <c r="L30" s="1030"/>
      <c r="M30" s="325"/>
      <c r="N30" s="325"/>
      <c r="O30" s="325"/>
      <c r="P30" s="325"/>
      <c r="Q30" s="325"/>
      <c r="R30" s="1032"/>
      <c r="S30" s="318"/>
      <c r="T30" s="318"/>
      <c r="U30" s="318"/>
      <c r="V30" s="318"/>
      <c r="W30" s="318"/>
      <c r="X30" s="318"/>
      <c r="Y30" s="971"/>
      <c r="Z30" s="1032"/>
      <c r="AA30" s="320"/>
      <c r="AB30" s="320"/>
      <c r="AC30" s="320"/>
      <c r="AD30" s="320"/>
      <c r="AE30" s="320"/>
      <c r="AF30" s="320"/>
      <c r="AG30" s="318"/>
      <c r="AH30" s="1032"/>
      <c r="AI30" s="346"/>
      <c r="AJ30" s="348"/>
      <c r="AK30" s="348"/>
      <c r="AL30" s="348"/>
      <c r="AM30" s="348"/>
      <c r="AN30" s="348"/>
      <c r="AO30" s="348"/>
      <c r="AP30" s="348"/>
      <c r="AQ30" s="346"/>
      <c r="AR30" s="1032"/>
      <c r="AS30" s="882"/>
      <c r="AT30" s="882"/>
      <c r="AU30" s="882"/>
      <c r="AV30" s="882"/>
      <c r="AW30" s="882"/>
      <c r="AX30" s="882"/>
      <c r="AY30" s="882"/>
      <c r="AZ30" s="882"/>
      <c r="BA30" s="882"/>
      <c r="BB30" s="882"/>
      <c r="BC30" s="882"/>
      <c r="BD30" s="882"/>
      <c r="BE30" s="882"/>
      <c r="BF30" s="882"/>
      <c r="BG30" s="882"/>
      <c r="BH30" s="882"/>
      <c r="BI30" s="882"/>
      <c r="BJ30" s="882"/>
      <c r="BK30" s="882"/>
      <c r="BL30" s="1021"/>
    </row>
    <row r="31" spans="1:64">
      <c r="A31" s="962"/>
      <c r="B31" s="308"/>
      <c r="C31" s="963"/>
      <c r="D31" s="970"/>
      <c r="E31" s="318"/>
      <c r="F31" s="318"/>
      <c r="G31" s="318"/>
      <c r="H31" s="318"/>
      <c r="I31" s="971"/>
      <c r="J31" s="1027"/>
      <c r="K31" s="1028"/>
      <c r="L31" s="1030"/>
      <c r="M31" s="325"/>
      <c r="N31" s="325"/>
      <c r="O31" s="325"/>
      <c r="P31" s="325"/>
      <c r="Q31" s="325"/>
      <c r="R31" s="1032"/>
      <c r="S31" s="318"/>
      <c r="T31" s="318"/>
      <c r="U31" s="318"/>
      <c r="V31" s="318"/>
      <c r="W31" s="318"/>
      <c r="X31" s="318"/>
      <c r="Y31" s="971"/>
      <c r="Z31" s="1032"/>
      <c r="AA31" s="320"/>
      <c r="AB31" s="320"/>
      <c r="AC31" s="320"/>
      <c r="AD31" s="320"/>
      <c r="AE31" s="320"/>
      <c r="AF31" s="320"/>
      <c r="AG31" s="318"/>
      <c r="AH31" s="1032"/>
      <c r="AI31" s="346"/>
      <c r="AJ31" s="348"/>
      <c r="AK31" s="348"/>
      <c r="AL31" s="348"/>
      <c r="AM31" s="348"/>
      <c r="AN31" s="348"/>
      <c r="AO31" s="348"/>
      <c r="AP31" s="348"/>
      <c r="AQ31" s="346"/>
      <c r="AR31" s="1032"/>
      <c r="AS31" s="882"/>
      <c r="AT31" s="882"/>
      <c r="AU31" s="882"/>
      <c r="AV31" s="882"/>
      <c r="AW31" s="882"/>
      <c r="AX31" s="882"/>
      <c r="AY31" s="882"/>
      <c r="AZ31" s="882"/>
      <c r="BA31" s="882"/>
      <c r="BB31" s="882"/>
      <c r="BC31" s="882"/>
      <c r="BD31" s="882"/>
      <c r="BE31" s="882"/>
      <c r="BF31" s="882"/>
      <c r="BG31" s="882"/>
      <c r="BH31" s="882"/>
      <c r="BI31" s="882"/>
      <c r="BJ31" s="882"/>
      <c r="BK31" s="882"/>
      <c r="BL31" s="1021"/>
    </row>
    <row r="32" spans="1:64">
      <c r="A32" s="962"/>
      <c r="B32" s="308"/>
      <c r="C32" s="963"/>
      <c r="D32" s="970"/>
      <c r="E32" s="318"/>
      <c r="F32" s="318"/>
      <c r="G32" s="318"/>
      <c r="H32" s="318"/>
      <c r="I32" s="971"/>
      <c r="J32" s="1027"/>
      <c r="K32" s="1028"/>
      <c r="L32" s="1030"/>
      <c r="M32" s="325"/>
      <c r="N32" s="325"/>
      <c r="O32" s="325"/>
      <c r="P32" s="325"/>
      <c r="Q32" s="325"/>
      <c r="R32" s="1032"/>
      <c r="S32" s="318"/>
      <c r="T32" s="318"/>
      <c r="U32" s="318"/>
      <c r="V32" s="318"/>
      <c r="W32" s="318"/>
      <c r="X32" s="318"/>
      <c r="Y32" s="971"/>
      <c r="Z32" s="1032"/>
      <c r="AA32" s="320"/>
      <c r="AB32" s="320"/>
      <c r="AC32" s="320"/>
      <c r="AD32" s="320"/>
      <c r="AE32" s="320"/>
      <c r="AF32" s="320"/>
      <c r="AG32" s="318"/>
      <c r="AH32" s="1032"/>
      <c r="AI32" s="346"/>
      <c r="AJ32" s="348"/>
      <c r="AK32" s="348"/>
      <c r="AL32" s="348"/>
      <c r="AM32" s="348"/>
      <c r="AN32" s="348"/>
      <c r="AO32" s="348"/>
      <c r="AP32" s="348"/>
      <c r="AQ32" s="346"/>
      <c r="AR32" s="1032"/>
      <c r="AS32" s="882"/>
      <c r="AT32" s="882"/>
      <c r="AU32" s="882"/>
      <c r="AV32" s="882"/>
      <c r="AW32" s="882"/>
      <c r="AX32" s="882"/>
      <c r="AY32" s="882"/>
      <c r="AZ32" s="882"/>
      <c r="BA32" s="882"/>
      <c r="BB32" s="882"/>
      <c r="BC32" s="882"/>
      <c r="BD32" s="882"/>
      <c r="BE32" s="882"/>
      <c r="BF32" s="882"/>
      <c r="BG32" s="882"/>
      <c r="BH32" s="882"/>
      <c r="BI32" s="882"/>
      <c r="BJ32" s="882"/>
      <c r="BK32" s="882"/>
      <c r="BL32" s="1021"/>
    </row>
    <row r="33" spans="1:64">
      <c r="A33" s="962"/>
      <c r="B33" s="308"/>
      <c r="C33" s="963"/>
      <c r="D33" s="970"/>
      <c r="E33" s="318"/>
      <c r="F33" s="318"/>
      <c r="G33" s="318"/>
      <c r="H33" s="318"/>
      <c r="I33" s="971"/>
      <c r="J33" s="1027"/>
      <c r="K33" s="1028"/>
      <c r="L33" s="1030"/>
      <c r="M33" s="325"/>
      <c r="N33" s="325"/>
      <c r="O33" s="325"/>
      <c r="P33" s="325"/>
      <c r="Q33" s="325"/>
      <c r="R33" s="1032"/>
      <c r="S33" s="318"/>
      <c r="T33" s="318"/>
      <c r="U33" s="318"/>
      <c r="V33" s="318"/>
      <c r="W33" s="318"/>
      <c r="X33" s="318"/>
      <c r="Y33" s="971"/>
      <c r="Z33" s="1032"/>
      <c r="AA33" s="320"/>
      <c r="AB33" s="320"/>
      <c r="AC33" s="320"/>
      <c r="AD33" s="320"/>
      <c r="AE33" s="320"/>
      <c r="AF33" s="320"/>
      <c r="AG33" s="318"/>
      <c r="AH33" s="1032"/>
      <c r="AI33" s="346"/>
      <c r="AJ33" s="348"/>
      <c r="AK33" s="348"/>
      <c r="AL33" s="348"/>
      <c r="AM33" s="348"/>
      <c r="AN33" s="348"/>
      <c r="AO33" s="348"/>
      <c r="AP33" s="348"/>
      <c r="AQ33" s="346"/>
      <c r="AR33" s="1032"/>
      <c r="AS33" s="882"/>
      <c r="AT33" s="882"/>
      <c r="AU33" s="882"/>
      <c r="AV33" s="882"/>
      <c r="AW33" s="882"/>
      <c r="AX33" s="882"/>
      <c r="AY33" s="882"/>
      <c r="AZ33" s="882"/>
      <c r="BA33" s="882"/>
      <c r="BB33" s="882"/>
      <c r="BC33" s="882"/>
      <c r="BD33" s="882"/>
      <c r="BE33" s="882"/>
      <c r="BF33" s="882"/>
      <c r="BG33" s="882"/>
      <c r="BH33" s="882"/>
      <c r="BI33" s="882"/>
      <c r="BJ33" s="882"/>
      <c r="BK33" s="882"/>
      <c r="BL33" s="1021"/>
    </row>
    <row r="34" spans="1:64">
      <c r="A34" s="962"/>
      <c r="B34" s="308"/>
      <c r="C34" s="963"/>
      <c r="D34" s="970"/>
      <c r="E34" s="318"/>
      <c r="F34" s="318"/>
      <c r="G34" s="318"/>
      <c r="H34" s="318"/>
      <c r="I34" s="971"/>
      <c r="J34" s="1027"/>
      <c r="K34" s="1028"/>
      <c r="L34" s="1030"/>
      <c r="M34" s="325"/>
      <c r="N34" s="325"/>
      <c r="O34" s="325"/>
      <c r="P34" s="325"/>
      <c r="Q34" s="325"/>
      <c r="R34" s="1032"/>
      <c r="S34" s="318"/>
      <c r="T34" s="318"/>
      <c r="U34" s="318"/>
      <c r="V34" s="318"/>
      <c r="W34" s="318"/>
      <c r="X34" s="318"/>
      <c r="Y34" s="971"/>
      <c r="Z34" s="1032"/>
      <c r="AA34" s="320"/>
      <c r="AB34" s="320"/>
      <c r="AC34" s="320"/>
      <c r="AD34" s="320"/>
      <c r="AE34" s="320"/>
      <c r="AF34" s="320"/>
      <c r="AG34" s="318"/>
      <c r="AH34" s="1032"/>
      <c r="AI34" s="346"/>
      <c r="AJ34" s="348"/>
      <c r="AK34" s="348"/>
      <c r="AL34" s="348"/>
      <c r="AM34" s="348"/>
      <c r="AN34" s="348"/>
      <c r="AO34" s="348"/>
      <c r="AP34" s="348"/>
      <c r="AQ34" s="346"/>
      <c r="AR34" s="1032"/>
      <c r="AS34" s="882"/>
      <c r="AT34" s="882"/>
      <c r="AU34" s="882"/>
      <c r="AV34" s="882"/>
      <c r="AW34" s="882"/>
      <c r="AX34" s="882"/>
      <c r="AY34" s="882"/>
      <c r="AZ34" s="882"/>
      <c r="BA34" s="882"/>
      <c r="BB34" s="882"/>
      <c r="BC34" s="882"/>
      <c r="BD34" s="882"/>
      <c r="BE34" s="882"/>
      <c r="BF34" s="882"/>
      <c r="BG34" s="882"/>
      <c r="BH34" s="882"/>
      <c r="BI34" s="882"/>
      <c r="BJ34" s="882"/>
      <c r="BK34" s="882"/>
      <c r="BL34" s="1021"/>
    </row>
    <row r="35" spans="1:64">
      <c r="A35" s="962"/>
      <c r="B35" s="308"/>
      <c r="C35" s="963"/>
      <c r="D35" s="970"/>
      <c r="E35" s="318"/>
      <c r="F35" s="318"/>
      <c r="G35" s="318"/>
      <c r="H35" s="318"/>
      <c r="I35" s="971"/>
      <c r="J35" s="1027"/>
      <c r="K35" s="1028"/>
      <c r="L35" s="1030"/>
      <c r="M35" s="325"/>
      <c r="N35" s="325"/>
      <c r="O35" s="325"/>
      <c r="P35" s="325"/>
      <c r="Q35" s="325"/>
      <c r="R35" s="1032"/>
      <c r="S35" s="318"/>
      <c r="T35" s="318"/>
      <c r="U35" s="318"/>
      <c r="V35" s="318"/>
      <c r="W35" s="318"/>
      <c r="X35" s="318"/>
      <c r="Y35" s="971"/>
      <c r="Z35" s="1032"/>
      <c r="AA35" s="320"/>
      <c r="AB35" s="320"/>
      <c r="AC35" s="320"/>
      <c r="AD35" s="320"/>
      <c r="AE35" s="320"/>
      <c r="AF35" s="320"/>
      <c r="AG35" s="318"/>
      <c r="AH35" s="1032"/>
      <c r="AI35" s="346"/>
      <c r="AJ35" s="348"/>
      <c r="AK35" s="348"/>
      <c r="AL35" s="348"/>
      <c r="AM35" s="348"/>
      <c r="AN35" s="348"/>
      <c r="AO35" s="348"/>
      <c r="AP35" s="348"/>
      <c r="AQ35" s="346"/>
      <c r="AR35" s="1032"/>
      <c r="AS35" s="882"/>
      <c r="AT35" s="882"/>
      <c r="AU35" s="882"/>
      <c r="AV35" s="882"/>
      <c r="AW35" s="882"/>
      <c r="AX35" s="882"/>
      <c r="AY35" s="882"/>
      <c r="AZ35" s="882"/>
      <c r="BA35" s="882"/>
      <c r="BB35" s="882"/>
      <c r="BC35" s="882"/>
      <c r="BD35" s="882"/>
      <c r="BE35" s="882"/>
      <c r="BF35" s="882"/>
      <c r="BG35" s="882"/>
      <c r="BH35" s="882"/>
      <c r="BI35" s="882"/>
      <c r="BJ35" s="882"/>
      <c r="BK35" s="882"/>
      <c r="BL35" s="1021"/>
    </row>
    <row r="36" spans="1:64">
      <c r="A36" s="964"/>
      <c r="B36" s="965"/>
      <c r="C36" s="966"/>
      <c r="D36" s="972"/>
      <c r="E36" s="973"/>
      <c r="F36" s="973"/>
      <c r="G36" s="973"/>
      <c r="H36" s="973"/>
      <c r="I36" s="974"/>
      <c r="J36" s="1027"/>
      <c r="K36" s="1028"/>
      <c r="L36" s="1030"/>
      <c r="M36" s="325"/>
      <c r="N36" s="325"/>
      <c r="O36" s="325"/>
      <c r="P36" s="325"/>
      <c r="Q36" s="325"/>
      <c r="R36" s="1032"/>
      <c r="S36" s="318"/>
      <c r="T36" s="318"/>
      <c r="U36" s="318"/>
      <c r="V36" s="318"/>
      <c r="W36" s="318"/>
      <c r="X36" s="318"/>
      <c r="Y36" s="971"/>
      <c r="Z36" s="1032"/>
      <c r="AA36" s="320"/>
      <c r="AB36" s="320"/>
      <c r="AC36" s="320"/>
      <c r="AD36" s="320"/>
      <c r="AE36" s="320"/>
      <c r="AF36" s="320"/>
      <c r="AG36" s="318"/>
      <c r="AH36" s="1032"/>
      <c r="AI36" s="346"/>
      <c r="AJ36" s="348"/>
      <c r="AK36" s="348"/>
      <c r="AL36" s="348"/>
      <c r="AM36" s="348"/>
      <c r="AN36" s="348"/>
      <c r="AO36" s="348"/>
      <c r="AP36" s="348"/>
      <c r="AQ36" s="346"/>
      <c r="AR36" s="1032"/>
      <c r="AS36" s="882"/>
      <c r="AT36" s="882"/>
      <c r="AU36" s="882"/>
      <c r="AV36" s="882"/>
      <c r="AW36" s="882"/>
      <c r="AX36" s="882"/>
      <c r="AY36" s="882"/>
      <c r="AZ36" s="882"/>
      <c r="BA36" s="882"/>
      <c r="BB36" s="882"/>
      <c r="BC36" s="882"/>
      <c r="BD36" s="882"/>
      <c r="BE36" s="882"/>
      <c r="BF36" s="882"/>
      <c r="BG36" s="882"/>
      <c r="BH36" s="882"/>
      <c r="BI36" s="882"/>
      <c r="BJ36" s="882"/>
      <c r="BK36" s="882"/>
      <c r="BL36" s="1021"/>
    </row>
    <row r="37" spans="1:64">
      <c r="A37" s="954"/>
      <c r="B37" s="696"/>
      <c r="C37" s="955"/>
      <c r="D37" s="954"/>
      <c r="E37" s="696"/>
      <c r="F37" s="696"/>
      <c r="G37" s="696"/>
      <c r="H37" s="696"/>
      <c r="I37" s="955"/>
      <c r="J37" s="1027"/>
      <c r="K37" s="1028"/>
      <c r="L37" s="1030"/>
      <c r="M37" s="325"/>
      <c r="N37" s="325"/>
      <c r="O37" s="325"/>
      <c r="P37" s="325"/>
      <c r="Q37" s="325"/>
      <c r="R37" s="1033"/>
      <c r="S37" s="318"/>
      <c r="T37" s="318"/>
      <c r="U37" s="318"/>
      <c r="V37" s="318"/>
      <c r="W37" s="318"/>
      <c r="X37" s="318"/>
      <c r="Y37" s="971"/>
      <c r="Z37" s="1033"/>
      <c r="AA37" s="320"/>
      <c r="AB37" s="318"/>
      <c r="AC37" s="318"/>
      <c r="AD37" s="318"/>
      <c r="AE37" s="318"/>
      <c r="AF37" s="318"/>
      <c r="AG37" s="318"/>
      <c r="AH37" s="1033"/>
      <c r="AI37" s="956"/>
      <c r="AJ37" s="957"/>
      <c r="AK37" s="957"/>
      <c r="AL37" s="957"/>
      <c r="AM37" s="957"/>
      <c r="AN37" s="957"/>
      <c r="AO37" s="957"/>
      <c r="AP37" s="957"/>
      <c r="AQ37" s="958"/>
      <c r="AR37" s="1033"/>
      <c r="AS37" s="1022"/>
      <c r="AT37" s="1022"/>
      <c r="AU37" s="1022"/>
      <c r="AV37" s="1022"/>
      <c r="AW37" s="1022"/>
      <c r="AX37" s="1022"/>
      <c r="AY37" s="1022"/>
      <c r="AZ37" s="1022"/>
      <c r="BA37" s="1022"/>
      <c r="BB37" s="1022"/>
      <c r="BC37" s="1022"/>
      <c r="BD37" s="1022"/>
      <c r="BE37" s="1022"/>
      <c r="BF37" s="1022"/>
      <c r="BG37" s="1022"/>
      <c r="BH37" s="1022"/>
      <c r="BI37" s="1022"/>
      <c r="BJ37" s="1022"/>
      <c r="BK37" s="1022"/>
      <c r="BL37" s="1023"/>
    </row>
    <row r="38" spans="1:64" ht="15.75">
      <c r="A38" s="999">
        <f>AI29</f>
        <v>6686400</v>
      </c>
      <c r="B38" s="1000"/>
      <c r="C38" s="1000"/>
      <c r="D38" s="1000"/>
      <c r="E38" s="1000"/>
      <c r="F38" s="1000"/>
      <c r="G38" s="1000"/>
      <c r="H38" s="1000"/>
      <c r="I38" s="1000"/>
      <c r="J38" s="1000"/>
      <c r="K38" s="1000"/>
      <c r="L38" s="1000"/>
      <c r="M38" s="1001"/>
      <c r="N38" s="134"/>
      <c r="O38" s="135"/>
      <c r="P38" s="135"/>
      <c r="Q38" s="135"/>
      <c r="R38" s="135"/>
      <c r="S38" s="995"/>
      <c r="T38" s="995"/>
      <c r="U38" s="995"/>
      <c r="V38" s="995"/>
      <c r="W38" s="995"/>
      <c r="X38" s="995"/>
      <c r="Y38" s="995"/>
      <c r="Z38" s="135"/>
      <c r="AA38" s="136"/>
      <c r="AB38" s="113" t="s">
        <v>59</v>
      </c>
      <c r="AC38" s="114"/>
      <c r="AD38" s="114"/>
      <c r="AE38" s="114"/>
      <c r="AF38" s="114"/>
      <c r="AG38" s="114"/>
      <c r="AH38" s="114"/>
      <c r="AI38" s="1005"/>
      <c r="AJ38" s="1005"/>
      <c r="AK38" s="1005"/>
      <c r="AL38" s="1005"/>
      <c r="AM38" s="1005"/>
      <c r="AN38" s="1005"/>
      <c r="AO38" s="1005"/>
      <c r="AP38" s="1005"/>
      <c r="AQ38" s="1005"/>
      <c r="AR38" s="114"/>
      <c r="AS38" s="114"/>
      <c r="AT38" s="114"/>
      <c r="AU38" s="114"/>
      <c r="AV38" s="114"/>
      <c r="AW38" s="114"/>
      <c r="AX38" s="114"/>
      <c r="AY38" s="114"/>
      <c r="AZ38" s="114"/>
      <c r="BA38" s="114"/>
      <c r="BB38" s="114"/>
      <c r="BC38" s="114"/>
      <c r="BD38" s="114"/>
      <c r="BE38" s="114"/>
      <c r="BF38" s="114"/>
      <c r="BG38" s="114"/>
      <c r="BH38" s="114"/>
      <c r="BI38" s="114"/>
      <c r="BJ38" s="114"/>
      <c r="BK38" s="114"/>
      <c r="BL38" s="117"/>
    </row>
    <row r="39" spans="1:64" ht="7.5" customHeight="1">
      <c r="A39" s="1002"/>
      <c r="B39" s="1003"/>
      <c r="C39" s="1003"/>
      <c r="D39" s="1003"/>
      <c r="E39" s="1003"/>
      <c r="F39" s="1003"/>
      <c r="G39" s="1003"/>
      <c r="H39" s="1003"/>
      <c r="I39" s="1003"/>
      <c r="J39" s="1003"/>
      <c r="K39" s="1003"/>
      <c r="L39" s="1003"/>
      <c r="M39" s="1004"/>
      <c r="N39" s="137"/>
      <c r="O39" s="138"/>
      <c r="P39" s="138"/>
      <c r="Q39" s="138"/>
      <c r="R39" s="138"/>
      <c r="S39" s="138"/>
      <c r="T39" s="138"/>
      <c r="U39" s="138"/>
      <c r="V39" s="138"/>
      <c r="W39" s="138"/>
      <c r="X39" s="138"/>
      <c r="Y39" s="138"/>
      <c r="Z39" s="138"/>
      <c r="AA39" s="139"/>
      <c r="AB39" s="140"/>
      <c r="AC39" s="141"/>
      <c r="AD39" s="141"/>
      <c r="AE39" s="141"/>
      <c r="AF39" s="141"/>
      <c r="AG39" s="141"/>
      <c r="AH39" s="141"/>
      <c r="AI39" s="934"/>
      <c r="AJ39" s="934"/>
      <c r="AK39" s="934"/>
      <c r="AL39" s="934"/>
      <c r="AM39" s="934"/>
      <c r="AN39" s="934"/>
      <c r="AO39" s="934"/>
      <c r="AP39" s="934"/>
      <c r="AQ39" s="934"/>
      <c r="AR39" s="141"/>
      <c r="AS39" s="141"/>
      <c r="AT39" s="141"/>
      <c r="AU39" s="141"/>
      <c r="AV39" s="141"/>
      <c r="AW39" s="141"/>
      <c r="AX39" s="141"/>
      <c r="AY39" s="141"/>
      <c r="AZ39" s="141"/>
      <c r="BA39" s="141"/>
      <c r="BB39" s="141"/>
      <c r="BC39" s="141"/>
      <c r="BD39" s="141"/>
      <c r="BE39" s="141"/>
      <c r="BF39" s="141"/>
      <c r="BG39" s="141"/>
      <c r="BH39" s="141"/>
      <c r="BI39" s="141"/>
      <c r="BJ39" s="141"/>
      <c r="BK39" s="141"/>
      <c r="BL39" s="142"/>
    </row>
    <row r="40" spans="1:64" ht="15.75">
      <c r="A40" s="134"/>
      <c r="B40" s="135"/>
      <c r="C40" s="135"/>
      <c r="D40" s="135"/>
      <c r="E40" s="135"/>
      <c r="F40" s="135"/>
      <c r="G40" s="135"/>
      <c r="H40" s="135"/>
      <c r="I40" s="135"/>
      <c r="J40" s="135"/>
      <c r="K40" s="135"/>
      <c r="L40" s="135"/>
      <c r="M40" s="136"/>
      <c r="N40" s="38"/>
      <c r="O40" s="38"/>
      <c r="P40" s="38"/>
      <c r="Q40" s="38"/>
      <c r="R40" s="38"/>
      <c r="S40" s="38"/>
      <c r="T40" s="38"/>
      <c r="U40" s="38"/>
      <c r="V40" s="38"/>
      <c r="W40" s="38"/>
      <c r="X40" s="38"/>
      <c r="Y40" s="38"/>
      <c r="Z40" s="38"/>
      <c r="AA40" s="38"/>
      <c r="AB40" s="1006"/>
      <c r="AC40" s="1007"/>
      <c r="AD40" s="1007"/>
      <c r="AE40" s="1007"/>
      <c r="AF40" s="1007"/>
      <c r="AG40" s="1007"/>
      <c r="AH40" s="1007"/>
      <c r="AI40" s="1007"/>
      <c r="AJ40" s="1007"/>
      <c r="AK40" s="1007"/>
      <c r="AL40" s="1007"/>
      <c r="AM40" s="1007"/>
      <c r="AN40" s="1007"/>
      <c r="AO40" s="1007"/>
      <c r="AP40" s="1007"/>
      <c r="AQ40" s="1007"/>
      <c r="AR40" s="1007"/>
      <c r="AS40" s="1007"/>
      <c r="AT40" s="1007"/>
      <c r="AU40" s="1007"/>
      <c r="AV40" s="1007"/>
      <c r="AW40" s="1007"/>
      <c r="AX40" s="1007"/>
      <c r="AY40" s="1007"/>
      <c r="AZ40" s="1007"/>
      <c r="BA40" s="1007"/>
      <c r="BB40" s="1007"/>
      <c r="BC40" s="1007"/>
      <c r="BD40" s="1007"/>
      <c r="BE40" s="1007"/>
      <c r="BF40" s="1007"/>
      <c r="BG40" s="1007"/>
      <c r="BH40" s="1007"/>
      <c r="BI40" s="1007"/>
      <c r="BJ40" s="1007"/>
      <c r="BK40" s="1007"/>
      <c r="BL40" s="1008"/>
    </row>
    <row r="41" spans="1:64" ht="7.5" customHeight="1">
      <c r="A41" s="137"/>
      <c r="B41" s="138"/>
      <c r="C41" s="138"/>
      <c r="D41" s="138"/>
      <c r="E41" s="138"/>
      <c r="F41" s="138"/>
      <c r="G41" s="138"/>
      <c r="H41" s="138"/>
      <c r="I41" s="138"/>
      <c r="J41" s="138"/>
      <c r="K41" s="138"/>
      <c r="L41" s="138"/>
      <c r="M41" s="139"/>
      <c r="N41" s="38"/>
      <c r="O41" s="38"/>
      <c r="P41" s="38"/>
      <c r="Q41" s="38"/>
      <c r="R41" s="38"/>
      <c r="S41" s="38"/>
      <c r="T41" s="38"/>
      <c r="U41" s="38"/>
      <c r="V41" s="38"/>
      <c r="W41" s="38"/>
      <c r="X41" s="38"/>
      <c r="Y41" s="38"/>
      <c r="Z41" s="38"/>
      <c r="AA41" s="38"/>
      <c r="AB41" s="1009"/>
      <c r="AC41" s="1010"/>
      <c r="AD41" s="1010"/>
      <c r="AE41" s="1010"/>
      <c r="AF41" s="1010"/>
      <c r="AG41" s="1010"/>
      <c r="AH41" s="1010"/>
      <c r="AI41" s="1010"/>
      <c r="AJ41" s="1010"/>
      <c r="AK41" s="1010"/>
      <c r="AL41" s="1010"/>
      <c r="AM41" s="1010"/>
      <c r="AN41" s="1010"/>
      <c r="AO41" s="1010"/>
      <c r="AP41" s="1010"/>
      <c r="AQ41" s="1010"/>
      <c r="AR41" s="1010"/>
      <c r="AS41" s="1010"/>
      <c r="AT41" s="1010"/>
      <c r="AU41" s="1010"/>
      <c r="AV41" s="1010"/>
      <c r="AW41" s="1010"/>
      <c r="AX41" s="1010"/>
      <c r="AY41" s="1010"/>
      <c r="AZ41" s="1010"/>
      <c r="BA41" s="1010"/>
      <c r="BB41" s="1010"/>
      <c r="BC41" s="1010"/>
      <c r="BD41" s="1010"/>
      <c r="BE41" s="1010"/>
      <c r="BF41" s="1010"/>
      <c r="BG41" s="1010"/>
      <c r="BH41" s="1010"/>
      <c r="BI41" s="1010"/>
      <c r="BJ41" s="1010"/>
      <c r="BK41" s="1010"/>
      <c r="BL41" s="1011"/>
    </row>
    <row r="42" spans="1:64" ht="15.75">
      <c r="A42" s="134"/>
      <c r="B42" s="135"/>
      <c r="C42" s="135"/>
      <c r="D42" s="135"/>
      <c r="E42" s="143"/>
      <c r="F42" s="143"/>
      <c r="G42" s="143"/>
      <c r="H42" s="143"/>
      <c r="I42" s="143"/>
      <c r="J42" s="143"/>
      <c r="K42" s="143"/>
      <c r="L42" s="143"/>
      <c r="M42" s="144"/>
      <c r="N42" s="145"/>
      <c r="O42" s="143"/>
      <c r="P42" s="143"/>
      <c r="Q42" s="143"/>
      <c r="R42" s="143"/>
      <c r="S42" s="143"/>
      <c r="T42" s="143"/>
      <c r="U42" s="143"/>
      <c r="V42" s="143"/>
      <c r="W42" s="143"/>
      <c r="X42" s="135"/>
      <c r="Y42" s="135"/>
      <c r="Z42" s="135"/>
      <c r="AA42" s="136"/>
      <c r="AB42" s="1006"/>
      <c r="AC42" s="1007"/>
      <c r="AD42" s="1007"/>
      <c r="AE42" s="1007"/>
      <c r="AF42" s="1007"/>
      <c r="AG42" s="1007"/>
      <c r="AH42" s="1007"/>
      <c r="AI42" s="1007"/>
      <c r="AJ42" s="1007"/>
      <c r="AK42" s="1007"/>
      <c r="AL42" s="1007"/>
      <c r="AM42" s="1007"/>
      <c r="AN42" s="1007"/>
      <c r="AO42" s="1007"/>
      <c r="AP42" s="1007"/>
      <c r="AQ42" s="1007"/>
      <c r="AR42" s="1007"/>
      <c r="AS42" s="1007"/>
      <c r="AT42" s="1007"/>
      <c r="AU42" s="1007"/>
      <c r="AV42" s="1007"/>
      <c r="AW42" s="1007"/>
      <c r="AX42" s="1007"/>
      <c r="AY42" s="1007"/>
      <c r="AZ42" s="1007"/>
      <c r="BA42" s="1007"/>
      <c r="BB42" s="1007"/>
      <c r="BC42" s="1007"/>
      <c r="BD42" s="1007"/>
      <c r="BE42" s="1007"/>
      <c r="BF42" s="1007"/>
      <c r="BG42" s="1007"/>
      <c r="BH42" s="1007"/>
      <c r="BI42" s="1007"/>
      <c r="BJ42" s="1007"/>
      <c r="BK42" s="1007"/>
      <c r="BL42" s="1008"/>
    </row>
    <row r="43" spans="1:64" ht="7.5" customHeight="1">
      <c r="A43" s="137"/>
      <c r="B43" s="138"/>
      <c r="C43" s="138"/>
      <c r="D43" s="138"/>
      <c r="E43" s="138"/>
      <c r="F43" s="138"/>
      <c r="G43" s="138"/>
      <c r="H43" s="138"/>
      <c r="I43" s="138"/>
      <c r="J43" s="138"/>
      <c r="K43" s="138"/>
      <c r="L43" s="138"/>
      <c r="M43" s="139"/>
      <c r="N43" s="137"/>
      <c r="O43" s="138"/>
      <c r="P43" s="138"/>
      <c r="Q43" s="138"/>
      <c r="R43" s="138"/>
      <c r="S43" s="138"/>
      <c r="T43" s="138"/>
      <c r="U43" s="138"/>
      <c r="V43" s="138"/>
      <c r="W43" s="138"/>
      <c r="X43" s="138"/>
      <c r="Y43" s="138"/>
      <c r="Z43" s="138"/>
      <c r="AA43" s="139"/>
      <c r="AB43" s="1009"/>
      <c r="AC43" s="1010"/>
      <c r="AD43" s="1010"/>
      <c r="AE43" s="1010"/>
      <c r="AF43" s="1010"/>
      <c r="AG43" s="1010"/>
      <c r="AH43" s="1010"/>
      <c r="AI43" s="1010"/>
      <c r="AJ43" s="1010"/>
      <c r="AK43" s="1010"/>
      <c r="AL43" s="1010"/>
      <c r="AM43" s="1010"/>
      <c r="AN43" s="1010"/>
      <c r="AO43" s="1010"/>
      <c r="AP43" s="1010"/>
      <c r="AQ43" s="1010"/>
      <c r="AR43" s="1010"/>
      <c r="AS43" s="1010"/>
      <c r="AT43" s="1010"/>
      <c r="AU43" s="1010"/>
      <c r="AV43" s="1010"/>
      <c r="AW43" s="1010"/>
      <c r="AX43" s="1010"/>
      <c r="AY43" s="1010"/>
      <c r="AZ43" s="1010"/>
      <c r="BA43" s="1010"/>
      <c r="BB43" s="1010"/>
      <c r="BC43" s="1010"/>
      <c r="BD43" s="1010"/>
      <c r="BE43" s="1010"/>
      <c r="BF43" s="1010"/>
      <c r="BG43" s="1010"/>
      <c r="BH43" s="1010"/>
      <c r="BI43" s="1010"/>
      <c r="BJ43" s="1010"/>
      <c r="BK43" s="1010"/>
      <c r="BL43" s="1011"/>
    </row>
    <row r="44" spans="1:64" ht="15" customHeight="1">
      <c r="A44" s="134"/>
      <c r="B44" s="135"/>
      <c r="C44" s="135"/>
      <c r="D44" s="135"/>
      <c r="E44" s="135"/>
      <c r="F44" s="135"/>
      <c r="G44" s="135"/>
      <c r="H44" s="135"/>
      <c r="I44" s="135"/>
      <c r="J44" s="135"/>
      <c r="K44" s="135"/>
      <c r="L44" s="135"/>
      <c r="M44" s="136"/>
      <c r="N44" s="38"/>
      <c r="O44" s="38"/>
      <c r="P44" s="38"/>
      <c r="Q44" s="38"/>
      <c r="R44" s="38"/>
      <c r="S44" s="38"/>
      <c r="T44" s="38"/>
      <c r="U44" s="38"/>
      <c r="V44" s="38"/>
      <c r="W44" s="38"/>
      <c r="X44" s="38"/>
      <c r="Y44" s="38"/>
      <c r="Z44" s="38"/>
      <c r="AA44" s="38"/>
      <c r="AB44" s="1012" t="s">
        <v>60</v>
      </c>
      <c r="AC44" s="1013"/>
      <c r="AD44" s="1013"/>
      <c r="AE44" s="1013"/>
      <c r="AF44" s="1013"/>
      <c r="AG44" s="1013"/>
      <c r="AH44" s="1013"/>
      <c r="AI44" s="1013"/>
      <c r="AJ44" s="1013"/>
      <c r="AK44" s="1013"/>
      <c r="AL44" s="1013"/>
      <c r="AM44" s="1013"/>
      <c r="AN44" s="1013"/>
      <c r="AO44" s="1013"/>
      <c r="AP44" s="1013"/>
      <c r="AQ44" s="1013"/>
      <c r="AR44" s="1013"/>
      <c r="AS44" s="1013"/>
      <c r="AT44" s="1013"/>
      <c r="AU44" s="1013"/>
      <c r="AV44" s="1013"/>
      <c r="AW44" s="1013"/>
      <c r="AX44" s="1013"/>
      <c r="AY44" s="1013"/>
      <c r="AZ44" s="1013"/>
      <c r="BA44" s="1013"/>
      <c r="BB44" s="1013"/>
      <c r="BC44" s="1013"/>
      <c r="BD44" s="1013"/>
      <c r="BE44" s="1013"/>
      <c r="BF44" s="1013"/>
      <c r="BG44" s="1013"/>
      <c r="BH44" s="1013"/>
      <c r="BI44" s="1013"/>
      <c r="BJ44" s="1013"/>
      <c r="BK44" s="1013"/>
      <c r="BL44" s="1014"/>
    </row>
    <row r="45" spans="1:64" ht="7.5" customHeight="1">
      <c r="A45" s="146"/>
      <c r="B45" s="38"/>
      <c r="C45" s="38"/>
      <c r="D45" s="38"/>
      <c r="E45" s="38"/>
      <c r="F45" s="38"/>
      <c r="G45" s="38"/>
      <c r="H45" s="38"/>
      <c r="I45" s="38"/>
      <c r="J45" s="38"/>
      <c r="K45" s="38"/>
      <c r="L45" s="38"/>
      <c r="M45" s="147"/>
      <c r="N45" s="38"/>
      <c r="O45" s="38"/>
      <c r="P45" s="38"/>
      <c r="Q45" s="38"/>
      <c r="R45" s="38"/>
      <c r="S45" s="38"/>
      <c r="T45" s="38"/>
      <c r="U45" s="38"/>
      <c r="V45" s="38"/>
      <c r="W45" s="38"/>
      <c r="X45" s="38"/>
      <c r="Y45" s="38"/>
      <c r="Z45" s="38"/>
      <c r="AA45" s="38"/>
      <c r="AB45" s="1015"/>
      <c r="AC45" s="1016"/>
      <c r="AD45" s="1016"/>
      <c r="AE45" s="1016"/>
      <c r="AF45" s="1016"/>
      <c r="AG45" s="1016"/>
      <c r="AH45" s="1016"/>
      <c r="AI45" s="1016"/>
      <c r="AJ45" s="1016"/>
      <c r="AK45" s="1016"/>
      <c r="AL45" s="1016"/>
      <c r="AM45" s="1016"/>
      <c r="AN45" s="1016"/>
      <c r="AO45" s="1016"/>
      <c r="AP45" s="1016"/>
      <c r="AQ45" s="1016"/>
      <c r="AR45" s="1016"/>
      <c r="AS45" s="1016"/>
      <c r="AT45" s="1016"/>
      <c r="AU45" s="1016"/>
      <c r="AV45" s="1016"/>
      <c r="AW45" s="1016"/>
      <c r="AX45" s="1016"/>
      <c r="AY45" s="1016"/>
      <c r="AZ45" s="1016"/>
      <c r="BA45" s="1016"/>
      <c r="BB45" s="1016"/>
      <c r="BC45" s="1016"/>
      <c r="BD45" s="1016"/>
      <c r="BE45" s="1016"/>
      <c r="BF45" s="1016"/>
      <c r="BG45" s="1016"/>
      <c r="BH45" s="1016"/>
      <c r="BI45" s="1016"/>
      <c r="BJ45" s="1016"/>
      <c r="BK45" s="1016"/>
      <c r="BL45" s="1017"/>
    </row>
    <row r="46" spans="1:64" ht="15.75">
      <c r="A46" s="1040">
        <f>'1'!A46</f>
        <v>1052092</v>
      </c>
      <c r="B46" s="1041"/>
      <c r="C46" s="1041"/>
      <c r="D46" s="1041"/>
      <c r="E46" s="1041"/>
      <c r="F46" s="1041"/>
      <c r="G46" s="1041"/>
      <c r="H46" s="1041"/>
      <c r="I46" s="1041"/>
      <c r="J46" s="1041"/>
      <c r="K46" s="1041"/>
      <c r="L46" s="1041"/>
      <c r="M46" s="1041"/>
      <c r="N46" s="134"/>
      <c r="O46" s="135"/>
      <c r="P46" s="135"/>
      <c r="Q46" s="135"/>
      <c r="R46" s="135"/>
      <c r="S46" s="135"/>
      <c r="T46" s="135"/>
      <c r="U46" s="135"/>
      <c r="V46" s="135"/>
      <c r="W46" s="135"/>
      <c r="X46" s="135"/>
      <c r="Y46" s="135"/>
      <c r="Z46" s="135"/>
      <c r="AA46" s="136"/>
      <c r="AB46" s="1044" t="str">
        <f>A3</f>
        <v>PT. NUR INFINIT INDOALEA GLOBAL</v>
      </c>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396"/>
      <c r="BF46" s="396"/>
      <c r="BG46" s="396"/>
      <c r="BH46" s="396"/>
      <c r="BI46" s="396"/>
      <c r="BJ46" s="396"/>
      <c r="BK46" s="396"/>
      <c r="BL46" s="1045"/>
    </row>
    <row r="47" spans="1:64" ht="7.5" customHeight="1">
      <c r="A47" s="1042"/>
      <c r="B47" s="1043"/>
      <c r="C47" s="1043"/>
      <c r="D47" s="1043"/>
      <c r="E47" s="1043"/>
      <c r="F47" s="1043"/>
      <c r="G47" s="1043"/>
      <c r="H47" s="1043"/>
      <c r="I47" s="1043"/>
      <c r="J47" s="1043"/>
      <c r="K47" s="1043"/>
      <c r="L47" s="1043"/>
      <c r="M47" s="1043"/>
      <c r="N47" s="137"/>
      <c r="O47" s="138"/>
      <c r="P47" s="138"/>
      <c r="Q47" s="138"/>
      <c r="R47" s="138"/>
      <c r="S47" s="138"/>
      <c r="T47" s="138"/>
      <c r="U47" s="138"/>
      <c r="V47" s="138"/>
      <c r="W47" s="138"/>
      <c r="X47" s="138"/>
      <c r="Y47" s="138"/>
      <c r="Z47" s="138"/>
      <c r="AA47" s="139"/>
      <c r="AB47" s="1046"/>
      <c r="AC47" s="399"/>
      <c r="AD47" s="399"/>
      <c r="AE47" s="399"/>
      <c r="AF47" s="399"/>
      <c r="AG47" s="399"/>
      <c r="AH47" s="399"/>
      <c r="AI47" s="399"/>
      <c r="AJ47" s="399"/>
      <c r="AK47" s="399"/>
      <c r="AL47" s="399"/>
      <c r="AM47" s="399"/>
      <c r="AN47" s="399"/>
      <c r="AO47" s="399"/>
      <c r="AP47" s="399"/>
      <c r="AQ47" s="399"/>
      <c r="AR47" s="399"/>
      <c r="AS47" s="399"/>
      <c r="AT47" s="399"/>
      <c r="AU47" s="399"/>
      <c r="AV47" s="399"/>
      <c r="AW47" s="399"/>
      <c r="AX47" s="399"/>
      <c r="AY47" s="399"/>
      <c r="AZ47" s="399"/>
      <c r="BA47" s="399"/>
      <c r="BB47" s="399"/>
      <c r="BC47" s="399"/>
      <c r="BD47" s="399"/>
      <c r="BE47" s="399"/>
      <c r="BF47" s="399"/>
      <c r="BG47" s="399"/>
      <c r="BH47" s="399"/>
      <c r="BI47" s="399"/>
      <c r="BJ47" s="399"/>
      <c r="BK47" s="399"/>
      <c r="BL47" s="1047"/>
    </row>
    <row r="48" spans="1:64" ht="15.75">
      <c r="A48" s="148"/>
      <c r="B48" s="149"/>
      <c r="C48" s="149"/>
      <c r="D48" s="149"/>
      <c r="E48" s="150"/>
      <c r="F48" s="150"/>
      <c r="G48" s="150"/>
      <c r="H48" s="150"/>
      <c r="I48" s="150"/>
      <c r="J48" s="150"/>
      <c r="K48" s="150"/>
      <c r="L48" s="150"/>
      <c r="M48" s="151"/>
      <c r="N48" s="152"/>
      <c r="O48" s="150"/>
      <c r="P48" s="150"/>
      <c r="Q48" s="150"/>
      <c r="R48" s="150"/>
      <c r="S48" s="150"/>
      <c r="T48" s="150"/>
      <c r="U48" s="150"/>
      <c r="V48" s="150"/>
      <c r="W48" s="150"/>
      <c r="X48" s="149"/>
      <c r="Y48" s="149"/>
      <c r="Z48" s="149"/>
      <c r="AA48" s="153"/>
      <c r="AB48" s="996" t="s">
        <v>61</v>
      </c>
      <c r="AC48" s="997"/>
      <c r="AD48" s="997"/>
      <c r="AE48" s="997"/>
      <c r="AF48" s="997"/>
      <c r="AG48" s="997"/>
      <c r="AH48" s="997"/>
      <c r="AI48" s="997"/>
      <c r="AJ48" s="997"/>
      <c r="AK48" s="997"/>
      <c r="AL48" s="997"/>
      <c r="AM48" s="997"/>
      <c r="AN48" s="997"/>
      <c r="AO48" s="997"/>
      <c r="AP48" s="997"/>
      <c r="AQ48" s="997"/>
      <c r="AR48" s="997"/>
      <c r="AS48" s="997"/>
      <c r="AT48" s="997"/>
      <c r="AU48" s="997"/>
      <c r="AV48" s="997"/>
      <c r="AW48" s="997"/>
      <c r="AX48" s="997"/>
      <c r="AY48" s="997"/>
      <c r="AZ48" s="997"/>
      <c r="BA48" s="997"/>
      <c r="BB48" s="997"/>
      <c r="BC48" s="997"/>
      <c r="BD48" s="997"/>
      <c r="BE48" s="997"/>
      <c r="BF48" s="997"/>
      <c r="BG48" s="997"/>
      <c r="BH48" s="997"/>
      <c r="BI48" s="997"/>
      <c r="BJ48" s="997"/>
      <c r="BK48" s="997"/>
      <c r="BL48" s="998"/>
    </row>
    <row r="49" spans="1:64" ht="7.5" customHeight="1">
      <c r="A49" s="154"/>
      <c r="B49" s="155"/>
      <c r="C49" s="155"/>
      <c r="D49" s="155"/>
      <c r="E49" s="155"/>
      <c r="F49" s="155"/>
      <c r="G49" s="155"/>
      <c r="H49" s="155"/>
      <c r="I49" s="155"/>
      <c r="J49" s="155"/>
      <c r="K49" s="155"/>
      <c r="L49" s="155"/>
      <c r="M49" s="156"/>
      <c r="N49" s="154"/>
      <c r="O49" s="155"/>
      <c r="P49" s="155"/>
      <c r="Q49" s="155"/>
      <c r="R49" s="155"/>
      <c r="S49" s="155"/>
      <c r="T49" s="155"/>
      <c r="U49" s="155"/>
      <c r="V49" s="155"/>
      <c r="W49" s="155"/>
      <c r="X49" s="155"/>
      <c r="Y49" s="155"/>
      <c r="Z49" s="155"/>
      <c r="AA49" s="156"/>
      <c r="AB49" s="134"/>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135"/>
      <c r="AZ49" s="135"/>
      <c r="BA49" s="135"/>
      <c r="BB49" s="135"/>
      <c r="BC49" s="135"/>
      <c r="BD49" s="135"/>
      <c r="BE49" s="135"/>
      <c r="BF49" s="135"/>
      <c r="BG49" s="135"/>
      <c r="BH49" s="135"/>
      <c r="BI49" s="135"/>
      <c r="BJ49" s="135"/>
      <c r="BK49" s="135"/>
      <c r="BL49" s="136"/>
    </row>
    <row r="50" spans="1:64" ht="15.75">
      <c r="A50" s="999">
        <f>A38+A46</f>
        <v>7738492</v>
      </c>
      <c r="B50" s="1048"/>
      <c r="C50" s="1048"/>
      <c r="D50" s="1048"/>
      <c r="E50" s="1048"/>
      <c r="F50" s="1048"/>
      <c r="G50" s="1048"/>
      <c r="H50" s="1048"/>
      <c r="I50" s="1048"/>
      <c r="J50" s="1048"/>
      <c r="K50" s="1048"/>
      <c r="L50" s="1048"/>
      <c r="M50" s="1049"/>
      <c r="N50" s="134"/>
      <c r="O50" s="995"/>
      <c r="P50" s="995"/>
      <c r="Q50" s="995"/>
      <c r="R50" s="995"/>
      <c r="S50" s="995"/>
      <c r="T50" s="995"/>
      <c r="U50" s="995"/>
      <c r="V50" s="995"/>
      <c r="W50" s="995"/>
      <c r="X50" s="995"/>
      <c r="Y50" s="995"/>
      <c r="Z50" s="995"/>
      <c r="AA50" s="136"/>
      <c r="AB50" s="146"/>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147"/>
    </row>
    <row r="51" spans="1:64" ht="7.5" customHeight="1">
      <c r="A51" s="1050"/>
      <c r="B51" s="1051"/>
      <c r="C51" s="1051"/>
      <c r="D51" s="1051"/>
      <c r="E51" s="1051"/>
      <c r="F51" s="1051"/>
      <c r="G51" s="1051"/>
      <c r="H51" s="1051"/>
      <c r="I51" s="1051"/>
      <c r="J51" s="1051"/>
      <c r="K51" s="1051"/>
      <c r="L51" s="1051"/>
      <c r="M51" s="1052"/>
      <c r="N51" s="137"/>
      <c r="O51" s="138"/>
      <c r="P51" s="138"/>
      <c r="Q51" s="138"/>
      <c r="R51" s="138"/>
      <c r="S51" s="138"/>
      <c r="T51" s="138"/>
      <c r="U51" s="138"/>
      <c r="V51" s="138"/>
      <c r="W51" s="138"/>
      <c r="X51" s="138"/>
      <c r="Y51" s="138"/>
      <c r="Z51" s="138"/>
      <c r="AA51" s="139"/>
      <c r="AB51" s="146"/>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147"/>
    </row>
    <row r="52" spans="1:64" ht="15.75">
      <c r="A52" s="134"/>
      <c r="B52" s="995"/>
      <c r="C52" s="995"/>
      <c r="D52" s="995"/>
      <c r="E52" s="995"/>
      <c r="F52" s="995"/>
      <c r="G52" s="995"/>
      <c r="H52" s="995"/>
      <c r="I52" s="995"/>
      <c r="J52" s="995"/>
      <c r="K52" s="995"/>
      <c r="L52" s="995"/>
      <c r="M52" s="136"/>
      <c r="N52" s="134"/>
      <c r="O52" s="995"/>
      <c r="P52" s="995"/>
      <c r="Q52" s="995"/>
      <c r="R52" s="995"/>
      <c r="S52" s="995"/>
      <c r="T52" s="995"/>
      <c r="U52" s="995"/>
      <c r="V52" s="995"/>
      <c r="W52" s="995"/>
      <c r="X52" s="995"/>
      <c r="Y52" s="995"/>
      <c r="Z52" s="995"/>
      <c r="AA52" s="136"/>
      <c r="AB52" s="157"/>
      <c r="AC52" s="353">
        <f>'1'!AC52</f>
        <v>46171</v>
      </c>
      <c r="AD52" s="354"/>
      <c r="AE52" s="354"/>
      <c r="AF52" s="354"/>
      <c r="AG52" s="354"/>
      <c r="AH52" s="354"/>
      <c r="AI52" s="354"/>
      <c r="AJ52" s="354"/>
      <c r="AK52" s="354"/>
      <c r="AL52" s="55"/>
      <c r="AM52" s="55"/>
      <c r="AN52" s="55"/>
      <c r="AO52" s="354" t="str">
        <f>'1'!AO52</f>
        <v>CGK</v>
      </c>
      <c r="AP52" s="354"/>
      <c r="AQ52" s="354"/>
      <c r="AR52" s="354"/>
      <c r="AS52" s="55"/>
      <c r="AT52" s="55"/>
      <c r="AU52" s="55"/>
      <c r="AV52" s="55"/>
      <c r="AW52" s="55"/>
      <c r="AX52" s="55"/>
      <c r="AY52" s="55"/>
      <c r="AZ52" s="55"/>
      <c r="BA52" s="55"/>
      <c r="BB52" s="55"/>
      <c r="BC52" s="55"/>
      <c r="BD52" s="55"/>
      <c r="BE52" s="55"/>
      <c r="BF52" s="55"/>
      <c r="BG52" s="55"/>
      <c r="BH52" s="55"/>
      <c r="BI52" s="55"/>
      <c r="BJ52" s="55"/>
      <c r="BK52" s="55"/>
      <c r="BL52" s="158"/>
    </row>
    <row r="53" spans="1:64" ht="7.5" customHeight="1">
      <c r="A53" s="137"/>
      <c r="B53" s="138"/>
      <c r="C53" s="138"/>
      <c r="D53" s="138"/>
      <c r="E53" s="138"/>
      <c r="F53" s="138"/>
      <c r="G53" s="138"/>
      <c r="H53" s="138"/>
      <c r="I53" s="138"/>
      <c r="J53" s="138"/>
      <c r="K53" s="138"/>
      <c r="L53" s="138"/>
      <c r="M53" s="139"/>
      <c r="N53" s="137"/>
      <c r="O53" s="138"/>
      <c r="P53" s="138"/>
      <c r="Q53" s="138"/>
      <c r="R53" s="138"/>
      <c r="S53" s="138"/>
      <c r="T53" s="138"/>
      <c r="U53" s="138"/>
      <c r="V53" s="138"/>
      <c r="W53" s="138"/>
      <c r="X53" s="138"/>
      <c r="Y53" s="138"/>
      <c r="Z53" s="138"/>
      <c r="AA53" s="139"/>
      <c r="AB53" s="996" t="s">
        <v>62</v>
      </c>
      <c r="AC53" s="997"/>
      <c r="AD53" s="997"/>
      <c r="AE53" s="997"/>
      <c r="AF53" s="997"/>
      <c r="AG53" s="997"/>
      <c r="AH53" s="133"/>
      <c r="AI53" s="133"/>
      <c r="AJ53" s="997" t="s">
        <v>63</v>
      </c>
      <c r="AK53" s="997"/>
      <c r="AL53" s="997"/>
      <c r="AM53" s="133"/>
      <c r="AN53" s="133"/>
      <c r="AO53" s="133"/>
      <c r="AP53" s="997" t="s">
        <v>64</v>
      </c>
      <c r="AQ53" s="997"/>
      <c r="AR53" s="133"/>
      <c r="AS53" s="133"/>
      <c r="AT53" s="133"/>
      <c r="AU53" s="997" t="s">
        <v>65</v>
      </c>
      <c r="AV53" s="997"/>
      <c r="AW53" s="997"/>
      <c r="AX53" s="997"/>
      <c r="AY53" s="997"/>
      <c r="AZ53" s="133"/>
      <c r="BA53" s="997" t="s">
        <v>66</v>
      </c>
      <c r="BB53" s="997"/>
      <c r="BC53" s="997"/>
      <c r="BD53" s="997"/>
      <c r="BE53" s="997"/>
      <c r="BF53" s="997"/>
      <c r="BG53" s="997"/>
      <c r="BH53" s="997"/>
      <c r="BI53" s="997"/>
      <c r="BJ53" s="997"/>
      <c r="BK53" s="997"/>
      <c r="BL53" s="998"/>
    </row>
    <row r="54" spans="1:64" ht="15.75">
      <c r="A54" s="930" t="s">
        <v>67</v>
      </c>
      <c r="B54" s="928"/>
      <c r="C54" s="928"/>
      <c r="D54" s="928"/>
      <c r="E54" s="928"/>
      <c r="F54" s="928"/>
      <c r="G54" s="928"/>
      <c r="H54" s="928"/>
      <c r="I54" s="928"/>
      <c r="J54" s="928"/>
      <c r="K54" s="928"/>
      <c r="L54" s="928"/>
      <c r="M54" s="929"/>
      <c r="N54" s="38"/>
      <c r="O54" s="377"/>
      <c r="P54" s="377"/>
      <c r="Q54" s="377"/>
      <c r="R54" s="377"/>
      <c r="S54" s="377"/>
      <c r="T54" s="377"/>
      <c r="U54" s="377"/>
      <c r="V54" s="377"/>
      <c r="W54" s="377"/>
      <c r="X54" s="377"/>
      <c r="Y54" s="377"/>
      <c r="Z54" s="377"/>
      <c r="AA54" s="38"/>
      <c r="AB54" s="134"/>
      <c r="AC54" s="995"/>
      <c r="AD54" s="995"/>
      <c r="AE54" s="995"/>
      <c r="AF54" s="995"/>
      <c r="AG54" s="995"/>
      <c r="AH54" s="995"/>
      <c r="AI54" s="995"/>
      <c r="AJ54" s="995"/>
      <c r="AK54" s="995"/>
      <c r="AL54" s="995"/>
      <c r="AM54" s="995"/>
      <c r="AN54" s="136"/>
      <c r="AO54" s="1034" t="str">
        <f>AT1</f>
        <v>126-91929552</v>
      </c>
      <c r="AP54" s="1035"/>
      <c r="AQ54" s="1035"/>
      <c r="AR54" s="1035"/>
      <c r="AS54" s="1035"/>
      <c r="AT54" s="1035"/>
      <c r="AU54" s="1035"/>
      <c r="AV54" s="1035"/>
      <c r="AW54" s="1035"/>
      <c r="AX54" s="1035"/>
      <c r="AY54" s="1035"/>
      <c r="AZ54" s="1035"/>
      <c r="BA54" s="1035"/>
      <c r="BB54" s="1035"/>
      <c r="BC54" s="1035"/>
      <c r="BD54" s="1035"/>
      <c r="BE54" s="1035"/>
      <c r="BF54" s="1035"/>
      <c r="BG54" s="1035"/>
      <c r="BH54" s="1035"/>
      <c r="BI54" s="1035"/>
      <c r="BJ54" s="1035"/>
      <c r="BK54" s="1035"/>
      <c r="BL54" s="1036"/>
    </row>
    <row r="55" spans="1:64" ht="7.5" customHeight="1">
      <c r="A55" s="996"/>
      <c r="B55" s="997"/>
      <c r="C55" s="997"/>
      <c r="D55" s="997"/>
      <c r="E55" s="997"/>
      <c r="F55" s="997"/>
      <c r="G55" s="997"/>
      <c r="H55" s="997"/>
      <c r="I55" s="997"/>
      <c r="J55" s="997"/>
      <c r="K55" s="997"/>
      <c r="L55" s="997"/>
      <c r="M55" s="998"/>
      <c r="N55" s="138"/>
      <c r="O55" s="138"/>
      <c r="P55" s="138"/>
      <c r="Q55" s="138"/>
      <c r="R55" s="138"/>
      <c r="S55" s="138"/>
      <c r="T55" s="138"/>
      <c r="U55" s="138"/>
      <c r="V55" s="138"/>
      <c r="W55" s="138"/>
      <c r="X55" s="138"/>
      <c r="Y55" s="138"/>
      <c r="Z55" s="138"/>
      <c r="AA55" s="138"/>
      <c r="AB55" s="137"/>
      <c r="AC55" s="138"/>
      <c r="AD55" s="138"/>
      <c r="AE55" s="138"/>
      <c r="AF55" s="138"/>
      <c r="AG55" s="138"/>
      <c r="AH55" s="138"/>
      <c r="AI55" s="138"/>
      <c r="AJ55" s="138"/>
      <c r="AK55" s="138"/>
      <c r="AL55" s="138"/>
      <c r="AM55" s="138"/>
      <c r="AN55" s="139"/>
      <c r="AO55" s="1037"/>
      <c r="AP55" s="1038"/>
      <c r="AQ55" s="1038"/>
      <c r="AR55" s="1038"/>
      <c r="AS55" s="1038"/>
      <c r="AT55" s="1038"/>
      <c r="AU55" s="1038"/>
      <c r="AV55" s="1038"/>
      <c r="AW55" s="1038"/>
      <c r="AX55" s="1038"/>
      <c r="AY55" s="1038"/>
      <c r="AZ55" s="1038"/>
      <c r="BA55" s="1038"/>
      <c r="BB55" s="1038"/>
      <c r="BC55" s="1038"/>
      <c r="BD55" s="1038"/>
      <c r="BE55" s="1038"/>
      <c r="BF55" s="1038"/>
      <c r="BG55" s="1038"/>
      <c r="BH55" s="1038"/>
      <c r="BI55" s="1038"/>
      <c r="BJ55" s="1038"/>
      <c r="BK55" s="1038"/>
      <c r="BL55" s="1039"/>
    </row>
    <row r="56" spans="1:64" ht="15" customHeight="1">
      <c r="A56" s="1024" t="s">
        <v>74</v>
      </c>
      <c r="B56" s="1024"/>
      <c r="C56" s="1024"/>
      <c r="D56" s="1024"/>
      <c r="E56" s="1024"/>
      <c r="F56" s="1024"/>
      <c r="G56" s="1024"/>
      <c r="H56" s="1024"/>
      <c r="I56" s="1024"/>
      <c r="J56" s="1024"/>
      <c r="K56" s="1024"/>
      <c r="L56" s="1024"/>
      <c r="M56" s="1024"/>
      <c r="N56" s="1024"/>
      <c r="O56" s="1024"/>
      <c r="P56" s="1024"/>
      <c r="Q56" s="1024"/>
      <c r="R56" s="1024"/>
      <c r="S56" s="1024"/>
      <c r="T56" s="1024"/>
      <c r="U56" s="1024"/>
      <c r="V56" s="1024"/>
      <c r="W56" s="1024"/>
      <c r="X56" s="1024"/>
      <c r="Y56" s="1024"/>
      <c r="Z56" s="1024"/>
      <c r="AA56" s="1024"/>
      <c r="AB56" s="1024"/>
      <c r="AC56" s="1024"/>
      <c r="AD56" s="1024"/>
      <c r="AE56" s="1024"/>
      <c r="AF56" s="1024"/>
      <c r="AG56" s="1024"/>
      <c r="AH56" s="1024"/>
      <c r="AI56" s="1024"/>
      <c r="AJ56" s="1024"/>
      <c r="AK56" s="1024"/>
      <c r="AL56" s="1024"/>
      <c r="AM56" s="1024"/>
      <c r="AN56" s="1024"/>
      <c r="AO56" s="1024"/>
      <c r="AP56" s="1024"/>
      <c r="AQ56" s="1024"/>
      <c r="AR56" s="1024"/>
      <c r="AS56" s="1024"/>
      <c r="AT56" s="1024"/>
      <c r="AU56" s="1024"/>
      <c r="AV56" s="1024"/>
      <c r="AW56" s="1024"/>
      <c r="AX56" s="1024"/>
      <c r="AY56" s="1024"/>
      <c r="AZ56" s="1024"/>
      <c r="BA56" s="1024"/>
      <c r="BB56" s="1024"/>
      <c r="BC56" s="1024"/>
      <c r="BD56" s="1024"/>
      <c r="BE56" s="1024"/>
      <c r="BF56" s="1024"/>
      <c r="BG56" s="1024"/>
      <c r="BH56" s="1024"/>
      <c r="BI56" s="1024"/>
      <c r="BJ56" s="1024"/>
      <c r="BK56" s="1024"/>
      <c r="BL56" s="1024"/>
    </row>
  </sheetData>
  <mergeCells count="100">
    <mergeCell ref="AH13:BL19"/>
    <mergeCell ref="A14:AG15"/>
    <mergeCell ref="A16:P17"/>
    <mergeCell ref="Q16:AG17"/>
    <mergeCell ref="A4:AG6"/>
    <mergeCell ref="AH7:BL12"/>
    <mergeCell ref="A9:AG12"/>
    <mergeCell ref="AN2:BL5"/>
    <mergeCell ref="A7:S7"/>
    <mergeCell ref="T7:AG7"/>
    <mergeCell ref="A13:AG13"/>
    <mergeCell ref="A18:AG18"/>
    <mergeCell ref="A19:AG19"/>
    <mergeCell ref="AL20:AM21"/>
    <mergeCell ref="A26:BL26"/>
    <mergeCell ref="L27:Q27"/>
    <mergeCell ref="M28:Q28"/>
    <mergeCell ref="AS27:BL28"/>
    <mergeCell ref="A22:Q22"/>
    <mergeCell ref="R22:U22"/>
    <mergeCell ref="V22:AC22"/>
    <mergeCell ref="A20:C21"/>
    <mergeCell ref="V20:X21"/>
    <mergeCell ref="Y20:AA21"/>
    <mergeCell ref="AB20:AD21"/>
    <mergeCell ref="AE20:AG21"/>
    <mergeCell ref="O54:Z54"/>
    <mergeCell ref="AC54:AM54"/>
    <mergeCell ref="A56:BL56"/>
    <mergeCell ref="J27:J28"/>
    <mergeCell ref="J29:J37"/>
    <mergeCell ref="K27:K37"/>
    <mergeCell ref="L29:L37"/>
    <mergeCell ref="R27:R37"/>
    <mergeCell ref="Z27:Z37"/>
    <mergeCell ref="AH27:AH37"/>
    <mergeCell ref="AR27:AR37"/>
    <mergeCell ref="A54:M55"/>
    <mergeCell ref="AO54:BL55"/>
    <mergeCell ref="A46:M47"/>
    <mergeCell ref="AB46:BL47"/>
    <mergeCell ref="A50:M51"/>
    <mergeCell ref="AS29:BL37"/>
    <mergeCell ref="S29:Y37"/>
    <mergeCell ref="A37:C37"/>
    <mergeCell ref="AB53:AG53"/>
    <mergeCell ref="AJ53:AL53"/>
    <mergeCell ref="AP53:AQ53"/>
    <mergeCell ref="AU53:AY53"/>
    <mergeCell ref="BA53:BL53"/>
    <mergeCell ref="S38:Y38"/>
    <mergeCell ref="AB48:BL48"/>
    <mergeCell ref="O50:Z50"/>
    <mergeCell ref="B52:L52"/>
    <mergeCell ref="O52:Z52"/>
    <mergeCell ref="AC52:AK52"/>
    <mergeCell ref="AO52:AR52"/>
    <mergeCell ref="A38:M39"/>
    <mergeCell ref="AI38:AQ39"/>
    <mergeCell ref="AB40:BL41"/>
    <mergeCell ref="AB42:BL43"/>
    <mergeCell ref="AB44:BL45"/>
    <mergeCell ref="A27:C28"/>
    <mergeCell ref="D27:I28"/>
    <mergeCell ref="A23:Q23"/>
    <mergeCell ref="Z23:AG23"/>
    <mergeCell ref="AH23:AQ23"/>
    <mergeCell ref="A24:BL24"/>
    <mergeCell ref="A25:BL25"/>
    <mergeCell ref="S27:Y28"/>
    <mergeCell ref="AR22:BL23"/>
    <mergeCell ref="AI27:AQ28"/>
    <mergeCell ref="D37:I37"/>
    <mergeCell ref="AI37:AQ37"/>
    <mergeCell ref="A29:C36"/>
    <mergeCell ref="D29:I36"/>
    <mergeCell ref="M29:Q37"/>
    <mergeCell ref="AA29:AG37"/>
    <mergeCell ref="AI29:AQ36"/>
    <mergeCell ref="AD22:AG22"/>
    <mergeCell ref="AH22:AQ22"/>
    <mergeCell ref="BE20:BL20"/>
    <mergeCell ref="D21:U21"/>
    <mergeCell ref="AH21:AK21"/>
    <mergeCell ref="AN21:AO21"/>
    <mergeCell ref="AP21:AQ21"/>
    <mergeCell ref="AR21:AS21"/>
    <mergeCell ref="AT21:AU21"/>
    <mergeCell ref="AV21:BD21"/>
    <mergeCell ref="BE21:BL21"/>
    <mergeCell ref="D20:U20"/>
    <mergeCell ref="AH20:AK20"/>
    <mergeCell ref="AN20:AQ20"/>
    <mergeCell ref="AR20:AU20"/>
    <mergeCell ref="AV20:BD20"/>
    <mergeCell ref="A1:C1"/>
    <mergeCell ref="D1:F1"/>
    <mergeCell ref="G1:S1"/>
    <mergeCell ref="AT1:BJ1"/>
    <mergeCell ref="AH6:BL6"/>
  </mergeCells>
  <pageMargins left="0" right="0" top="0" bottom="0.55000000000000004" header="0" footer="0.30972222222222201"/>
  <pageSetup paperSize="9" orientation="portrait" verticalDpi="20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L56"/>
  <sheetViews>
    <sheetView showGridLines="0" view="pageLayout" topLeftCell="A27" zoomScale="102" zoomScaleNormal="100" zoomScalePageLayoutView="102" workbookViewId="0">
      <selection activeCell="S29" sqref="S29:Y37"/>
    </sheetView>
  </sheetViews>
  <sheetFormatPr defaultColWidth="9" defaultRowHeight="15"/>
  <cols>
    <col min="1" max="65" width="1.5703125" customWidth="1"/>
  </cols>
  <sheetData>
    <row r="1" spans="1:64" ht="22.5" customHeight="1">
      <c r="A1" s="267">
        <f>'1'!A1</f>
        <v>126</v>
      </c>
      <c r="B1" s="267"/>
      <c r="C1" s="268"/>
      <c r="D1" s="1133" t="s">
        <v>0</v>
      </c>
      <c r="E1" s="458"/>
      <c r="F1" s="1134"/>
      <c r="G1" s="1135">
        <f>'1'!G1</f>
        <v>91929552</v>
      </c>
      <c r="H1" s="702"/>
      <c r="I1" s="702"/>
      <c r="J1" s="702"/>
      <c r="K1" s="702"/>
      <c r="L1" s="702"/>
      <c r="M1" s="702"/>
      <c r="N1" s="702"/>
      <c r="O1" s="702"/>
      <c r="P1" s="702"/>
      <c r="Q1" s="702"/>
      <c r="R1" s="702"/>
      <c r="S1" s="702"/>
      <c r="T1" s="60"/>
      <c r="U1" s="60"/>
      <c r="V1" s="60"/>
      <c r="W1" s="60"/>
      <c r="X1" s="60"/>
      <c r="Y1" s="60"/>
      <c r="Z1" s="60"/>
      <c r="AA1" s="60"/>
      <c r="AB1" s="60"/>
      <c r="AC1" s="60"/>
      <c r="AD1" s="60"/>
      <c r="AE1" s="60"/>
      <c r="AF1" s="60"/>
      <c r="AG1" s="60"/>
      <c r="AT1" s="267" t="str">
        <f>'1'!AT1</f>
        <v>126-91929552</v>
      </c>
      <c r="AU1" s="267"/>
      <c r="AV1" s="267"/>
      <c r="AW1" s="267"/>
      <c r="AX1" s="267"/>
      <c r="AY1" s="267"/>
      <c r="AZ1" s="267"/>
      <c r="BA1" s="267"/>
      <c r="BB1" s="267"/>
      <c r="BC1" s="267"/>
      <c r="BD1" s="267"/>
      <c r="BE1" s="267"/>
      <c r="BF1" s="267"/>
      <c r="BG1" s="267"/>
      <c r="BH1" s="267"/>
      <c r="BI1" s="267"/>
      <c r="BJ1" s="267"/>
    </row>
    <row r="2" spans="1:64">
      <c r="A2" s="61" t="s">
        <v>1</v>
      </c>
      <c r="B2" s="62"/>
      <c r="C2" s="62"/>
      <c r="D2" s="62"/>
      <c r="E2" s="62"/>
      <c r="F2" s="62"/>
      <c r="G2" s="62"/>
      <c r="H2" s="62"/>
      <c r="I2" s="62"/>
      <c r="J2" s="62"/>
      <c r="K2" s="62"/>
      <c r="L2" s="62"/>
      <c r="M2" s="62"/>
      <c r="N2" s="62"/>
      <c r="O2" s="62"/>
      <c r="P2" s="62"/>
      <c r="Q2" s="62"/>
      <c r="R2" s="62"/>
      <c r="S2" s="62"/>
      <c r="T2" s="63" t="s">
        <v>2</v>
      </c>
      <c r="U2" s="64"/>
      <c r="V2" s="64"/>
      <c r="W2" s="64"/>
      <c r="X2" s="64"/>
      <c r="Y2" s="64"/>
      <c r="Z2" s="64"/>
      <c r="AA2" s="64"/>
      <c r="AB2" s="64"/>
      <c r="AC2" s="64"/>
      <c r="AD2" s="64"/>
      <c r="AE2" s="64"/>
      <c r="AF2" s="64"/>
      <c r="AG2" s="65"/>
      <c r="AH2" s="66" t="s">
        <v>3</v>
      </c>
      <c r="AI2" s="67"/>
      <c r="AJ2" s="67"/>
      <c r="AK2" s="67"/>
      <c r="AL2" s="67"/>
      <c r="AM2" s="67"/>
      <c r="AN2" s="1171" t="str">
        <f>'1'!AN2</f>
        <v>GARUDA INDONESIA</v>
      </c>
      <c r="AO2" s="1171"/>
      <c r="AP2" s="1171"/>
      <c r="AQ2" s="1171"/>
      <c r="AR2" s="1171"/>
      <c r="AS2" s="1171"/>
      <c r="AT2" s="1171"/>
      <c r="AU2" s="1171"/>
      <c r="AV2" s="1171"/>
      <c r="AW2" s="1171"/>
      <c r="AX2" s="1171"/>
      <c r="AY2" s="1171"/>
      <c r="AZ2" s="1171"/>
      <c r="BA2" s="1171"/>
      <c r="BB2" s="1171"/>
      <c r="BC2" s="1171"/>
      <c r="BD2" s="1171"/>
      <c r="BE2" s="1171"/>
      <c r="BF2" s="1171"/>
      <c r="BG2" s="1171"/>
      <c r="BH2" s="1171"/>
      <c r="BI2" s="1171"/>
      <c r="BJ2" s="1171"/>
      <c r="BK2" s="1171"/>
      <c r="BL2" s="1172"/>
    </row>
    <row r="3" spans="1:64" ht="16.5">
      <c r="A3" s="68" t="str">
        <f>'1'!A3</f>
        <v>PT. NUR INFINIT INDOALEA GLOBAL</v>
      </c>
      <c r="B3" s="6"/>
      <c r="C3" s="69"/>
      <c r="D3" s="6"/>
      <c r="E3" s="6"/>
      <c r="F3" s="6"/>
      <c r="G3" s="6"/>
      <c r="H3" s="6"/>
      <c r="I3" s="6"/>
      <c r="J3" s="6"/>
      <c r="K3" s="6"/>
      <c r="L3" s="6"/>
      <c r="M3" s="6"/>
      <c r="N3" s="6"/>
      <c r="O3" s="6"/>
      <c r="P3" s="6"/>
      <c r="Q3" s="6"/>
      <c r="R3" s="6"/>
      <c r="S3" s="6"/>
      <c r="T3" s="64"/>
      <c r="U3" s="64"/>
      <c r="V3" s="64"/>
      <c r="W3" s="64"/>
      <c r="X3" s="64"/>
      <c r="Y3" s="64"/>
      <c r="Z3" s="64"/>
      <c r="AA3" s="64"/>
      <c r="AB3" s="64"/>
      <c r="AC3" s="64"/>
      <c r="AD3" s="64"/>
      <c r="AE3" s="64"/>
      <c r="AF3" s="64"/>
      <c r="AG3" s="65"/>
      <c r="AH3" s="7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1173"/>
    </row>
    <row r="4" spans="1:64">
      <c r="A4" s="1139"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1140"/>
      <c r="AH4" s="71"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1173"/>
    </row>
    <row r="5" spans="1:64">
      <c r="A5" s="1141"/>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1140"/>
      <c r="AH5" s="72"/>
      <c r="AI5" s="73"/>
      <c r="AJ5" s="73"/>
      <c r="AK5" s="73"/>
      <c r="AL5" s="73"/>
      <c r="AM5" s="73"/>
      <c r="AN5" s="1174"/>
      <c r="AO5" s="1174"/>
      <c r="AP5" s="1174"/>
      <c r="AQ5" s="1174"/>
      <c r="AR5" s="1174"/>
      <c r="AS5" s="1174"/>
      <c r="AT5" s="1174"/>
      <c r="AU5" s="1174"/>
      <c r="AV5" s="1174"/>
      <c r="AW5" s="1174"/>
      <c r="AX5" s="1174"/>
      <c r="AY5" s="1174"/>
      <c r="AZ5" s="1174"/>
      <c r="BA5" s="1174"/>
      <c r="BB5" s="1174"/>
      <c r="BC5" s="1174"/>
      <c r="BD5" s="1174"/>
      <c r="BE5" s="1174"/>
      <c r="BF5" s="1174"/>
      <c r="BG5" s="1174"/>
      <c r="BH5" s="1174"/>
      <c r="BI5" s="1174"/>
      <c r="BJ5" s="1174"/>
      <c r="BK5" s="1174"/>
      <c r="BL5" s="1175"/>
    </row>
    <row r="6" spans="1:64">
      <c r="A6" s="1142"/>
      <c r="B6" s="1143"/>
      <c r="C6" s="1143"/>
      <c r="D6" s="1143"/>
      <c r="E6" s="1143"/>
      <c r="F6" s="1143"/>
      <c r="G6" s="1143"/>
      <c r="H6" s="1143"/>
      <c r="I6" s="1143"/>
      <c r="J6" s="1143"/>
      <c r="K6" s="1143"/>
      <c r="L6" s="1143"/>
      <c r="M6" s="1143"/>
      <c r="N6" s="1143"/>
      <c r="O6" s="1143"/>
      <c r="P6" s="1143"/>
      <c r="Q6" s="1143"/>
      <c r="R6" s="1143"/>
      <c r="S6" s="1143"/>
      <c r="T6" s="1143"/>
      <c r="U6" s="1143"/>
      <c r="V6" s="1143"/>
      <c r="W6" s="1143"/>
      <c r="X6" s="1143"/>
      <c r="Y6" s="1143"/>
      <c r="Z6" s="1143"/>
      <c r="AA6" s="1143"/>
      <c r="AB6" s="1143"/>
      <c r="AC6" s="1143"/>
      <c r="AD6" s="1143"/>
      <c r="AE6" s="1143"/>
      <c r="AF6" s="1143"/>
      <c r="AG6" s="1144"/>
      <c r="AH6" s="1136" t="s">
        <v>9</v>
      </c>
      <c r="AI6" s="1137"/>
      <c r="AJ6" s="1137"/>
      <c r="AK6" s="1137"/>
      <c r="AL6" s="1137"/>
      <c r="AM6" s="1137"/>
      <c r="AN6" s="1137"/>
      <c r="AO6" s="1137"/>
      <c r="AP6" s="1137"/>
      <c r="AQ6" s="1137"/>
      <c r="AR6" s="1137"/>
      <c r="AS6" s="1137"/>
      <c r="AT6" s="1137"/>
      <c r="AU6" s="1137"/>
      <c r="AV6" s="1137"/>
      <c r="AW6" s="1137"/>
      <c r="AX6" s="1137"/>
      <c r="AY6" s="1137"/>
      <c r="AZ6" s="1137"/>
      <c r="BA6" s="1137"/>
      <c r="BB6" s="1137"/>
      <c r="BC6" s="1137"/>
      <c r="BD6" s="1137"/>
      <c r="BE6" s="1137"/>
      <c r="BF6" s="1137"/>
      <c r="BG6" s="1137"/>
      <c r="BH6" s="1137"/>
      <c r="BI6" s="1137"/>
      <c r="BJ6" s="1137"/>
      <c r="BK6" s="1137"/>
      <c r="BL6" s="1138"/>
    </row>
    <row r="7" spans="1:64">
      <c r="A7" s="1179" t="s">
        <v>10</v>
      </c>
      <c r="B7" s="1180"/>
      <c r="C7" s="1180"/>
      <c r="D7" s="1180"/>
      <c r="E7" s="1180"/>
      <c r="F7" s="1180"/>
      <c r="G7" s="1180"/>
      <c r="H7" s="1180"/>
      <c r="I7" s="1180"/>
      <c r="J7" s="1180"/>
      <c r="K7" s="1180"/>
      <c r="L7" s="1180"/>
      <c r="M7" s="1180"/>
      <c r="N7" s="1180"/>
      <c r="O7" s="1180"/>
      <c r="P7" s="1180"/>
      <c r="Q7" s="1180"/>
      <c r="R7" s="1180"/>
      <c r="S7" s="1180"/>
      <c r="T7" s="63" t="s">
        <v>11</v>
      </c>
      <c r="U7" s="63"/>
      <c r="V7" s="63"/>
      <c r="W7" s="63"/>
      <c r="X7" s="63"/>
      <c r="Y7" s="63"/>
      <c r="Z7" s="63"/>
      <c r="AA7" s="63"/>
      <c r="AB7" s="63"/>
      <c r="AC7" s="63"/>
      <c r="AD7" s="63"/>
      <c r="AE7" s="63"/>
      <c r="AF7" s="63"/>
      <c r="AG7" s="74"/>
      <c r="AH7" s="1155" t="s">
        <v>12</v>
      </c>
      <c r="AI7" s="1156"/>
      <c r="AJ7" s="1156"/>
      <c r="AK7" s="1156"/>
      <c r="AL7" s="1156"/>
      <c r="AM7" s="1156"/>
      <c r="AN7" s="1156"/>
      <c r="AO7" s="1156"/>
      <c r="AP7" s="1156"/>
      <c r="AQ7" s="1156"/>
      <c r="AR7" s="1156"/>
      <c r="AS7" s="1156"/>
      <c r="AT7" s="1156"/>
      <c r="AU7" s="1156"/>
      <c r="AV7" s="1156"/>
      <c r="AW7" s="1156"/>
      <c r="AX7" s="1156"/>
      <c r="AY7" s="1156"/>
      <c r="AZ7" s="1156"/>
      <c r="BA7" s="1156"/>
      <c r="BB7" s="1156"/>
      <c r="BC7" s="1156"/>
      <c r="BD7" s="1156"/>
      <c r="BE7" s="1156"/>
      <c r="BF7" s="1156"/>
      <c r="BG7" s="1156"/>
      <c r="BH7" s="1156"/>
      <c r="BI7" s="1156"/>
      <c r="BJ7" s="1156"/>
      <c r="BK7" s="1156"/>
      <c r="BL7" s="1157"/>
    </row>
    <row r="8" spans="1:64">
      <c r="A8" s="262" t="str">
        <f>'1'!A8</f>
        <v>LINEHAUL EXPRESS SINGAPORE PTE LTD</v>
      </c>
      <c r="B8" s="15"/>
      <c r="C8" s="15"/>
      <c r="D8" s="15"/>
      <c r="E8" s="15"/>
      <c r="F8" s="15"/>
      <c r="G8" s="15"/>
      <c r="H8" s="15"/>
      <c r="I8" s="15"/>
      <c r="J8" s="15"/>
      <c r="K8" s="15"/>
      <c r="L8" s="15"/>
      <c r="M8" s="15"/>
      <c r="N8" s="15"/>
      <c r="O8" s="15"/>
      <c r="P8" s="15"/>
      <c r="Q8" s="15"/>
      <c r="R8" s="15"/>
      <c r="S8" s="15"/>
      <c r="T8" s="64"/>
      <c r="U8" s="64"/>
      <c r="V8" s="64"/>
      <c r="W8" s="64"/>
      <c r="X8" s="64"/>
      <c r="Y8" s="64"/>
      <c r="Z8" s="64"/>
      <c r="AA8" s="64"/>
      <c r="AB8" s="64"/>
      <c r="AC8" s="64"/>
      <c r="AD8" s="64"/>
      <c r="AE8" s="64"/>
      <c r="AF8" s="64"/>
      <c r="AG8" s="65"/>
      <c r="AH8" s="1158"/>
      <c r="AI8" s="1159"/>
      <c r="AJ8" s="1159"/>
      <c r="AK8" s="1159"/>
      <c r="AL8" s="1159"/>
      <c r="AM8" s="1159"/>
      <c r="AN8" s="1159"/>
      <c r="AO8" s="1159"/>
      <c r="AP8" s="1159"/>
      <c r="AQ8" s="1159"/>
      <c r="AR8" s="1159"/>
      <c r="AS8" s="1159"/>
      <c r="AT8" s="1159"/>
      <c r="AU8" s="1159"/>
      <c r="AV8" s="1159"/>
      <c r="AW8" s="1159"/>
      <c r="AX8" s="1159"/>
      <c r="AY8" s="1159"/>
      <c r="AZ8" s="1159"/>
      <c r="BA8" s="1159"/>
      <c r="BB8" s="1159"/>
      <c r="BC8" s="1159"/>
      <c r="BD8" s="1159"/>
      <c r="BE8" s="1159"/>
      <c r="BF8" s="1159"/>
      <c r="BG8" s="1159"/>
      <c r="BH8" s="1159"/>
      <c r="BI8" s="1159"/>
      <c r="BJ8" s="1159"/>
      <c r="BK8" s="1159"/>
      <c r="BL8" s="1160"/>
    </row>
    <row r="9" spans="1:64">
      <c r="A9" s="1165"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1166"/>
      <c r="AH9" s="1161"/>
      <c r="AI9" s="1159"/>
      <c r="AJ9" s="1159"/>
      <c r="AK9" s="1159"/>
      <c r="AL9" s="1159"/>
      <c r="AM9" s="1159"/>
      <c r="AN9" s="1159"/>
      <c r="AO9" s="1159"/>
      <c r="AP9" s="1159"/>
      <c r="AQ9" s="1159"/>
      <c r="AR9" s="1159"/>
      <c r="AS9" s="1159"/>
      <c r="AT9" s="1159"/>
      <c r="AU9" s="1159"/>
      <c r="AV9" s="1159"/>
      <c r="AW9" s="1159"/>
      <c r="AX9" s="1159"/>
      <c r="AY9" s="1159"/>
      <c r="AZ9" s="1159"/>
      <c r="BA9" s="1159"/>
      <c r="BB9" s="1159"/>
      <c r="BC9" s="1159"/>
      <c r="BD9" s="1159"/>
      <c r="BE9" s="1159"/>
      <c r="BF9" s="1159"/>
      <c r="BG9" s="1159"/>
      <c r="BH9" s="1159"/>
      <c r="BI9" s="1159"/>
      <c r="BJ9" s="1159"/>
      <c r="BK9" s="1159"/>
      <c r="BL9" s="1160"/>
    </row>
    <row r="10" spans="1:64">
      <c r="A10" s="1167"/>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1166"/>
      <c r="AH10" s="1161"/>
      <c r="AI10" s="1159"/>
      <c r="AJ10" s="1159"/>
      <c r="AK10" s="1159"/>
      <c r="AL10" s="1159"/>
      <c r="AM10" s="1159"/>
      <c r="AN10" s="1159"/>
      <c r="AO10" s="1159"/>
      <c r="AP10" s="1159"/>
      <c r="AQ10" s="1159"/>
      <c r="AR10" s="1159"/>
      <c r="AS10" s="1159"/>
      <c r="AT10" s="1159"/>
      <c r="AU10" s="1159"/>
      <c r="AV10" s="1159"/>
      <c r="AW10" s="1159"/>
      <c r="AX10" s="1159"/>
      <c r="AY10" s="1159"/>
      <c r="AZ10" s="1159"/>
      <c r="BA10" s="1159"/>
      <c r="BB10" s="1159"/>
      <c r="BC10" s="1159"/>
      <c r="BD10" s="1159"/>
      <c r="BE10" s="1159"/>
      <c r="BF10" s="1159"/>
      <c r="BG10" s="1159"/>
      <c r="BH10" s="1159"/>
      <c r="BI10" s="1159"/>
      <c r="BJ10" s="1159"/>
      <c r="BK10" s="1159"/>
      <c r="BL10" s="1160"/>
    </row>
    <row r="11" spans="1:64">
      <c r="A11" s="1167"/>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1166"/>
      <c r="AH11" s="1161"/>
      <c r="AI11" s="1159"/>
      <c r="AJ11" s="1159"/>
      <c r="AK11" s="1159"/>
      <c r="AL11" s="1159"/>
      <c r="AM11" s="1159"/>
      <c r="AN11" s="1159"/>
      <c r="AO11" s="1159"/>
      <c r="AP11" s="1159"/>
      <c r="AQ11" s="1159"/>
      <c r="AR11" s="1159"/>
      <c r="AS11" s="1159"/>
      <c r="AT11" s="1159"/>
      <c r="AU11" s="1159"/>
      <c r="AV11" s="1159"/>
      <c r="AW11" s="1159"/>
      <c r="AX11" s="1159"/>
      <c r="AY11" s="1159"/>
      <c r="AZ11" s="1159"/>
      <c r="BA11" s="1159"/>
      <c r="BB11" s="1159"/>
      <c r="BC11" s="1159"/>
      <c r="BD11" s="1159"/>
      <c r="BE11" s="1159"/>
      <c r="BF11" s="1159"/>
      <c r="BG11" s="1159"/>
      <c r="BH11" s="1159"/>
      <c r="BI11" s="1159"/>
      <c r="BJ11" s="1159"/>
      <c r="BK11" s="1159"/>
      <c r="BL11" s="1160"/>
    </row>
    <row r="12" spans="1:64">
      <c r="A12" s="1168"/>
      <c r="B12" s="1169"/>
      <c r="C12" s="1169"/>
      <c r="D12" s="1169"/>
      <c r="E12" s="1169"/>
      <c r="F12" s="1169"/>
      <c r="G12" s="1169"/>
      <c r="H12" s="1169"/>
      <c r="I12" s="1169"/>
      <c r="J12" s="1169"/>
      <c r="K12" s="1169"/>
      <c r="L12" s="1169"/>
      <c r="M12" s="1169"/>
      <c r="N12" s="1169"/>
      <c r="O12" s="1169"/>
      <c r="P12" s="1169"/>
      <c r="Q12" s="1169"/>
      <c r="R12" s="1169"/>
      <c r="S12" s="1169"/>
      <c r="T12" s="1169"/>
      <c r="U12" s="1169"/>
      <c r="V12" s="1169"/>
      <c r="W12" s="1169"/>
      <c r="X12" s="1169"/>
      <c r="Y12" s="1169"/>
      <c r="Z12" s="1169"/>
      <c r="AA12" s="1169"/>
      <c r="AB12" s="1169"/>
      <c r="AC12" s="1169"/>
      <c r="AD12" s="1169"/>
      <c r="AE12" s="1169"/>
      <c r="AF12" s="1169"/>
      <c r="AG12" s="1170"/>
      <c r="AH12" s="1162"/>
      <c r="AI12" s="1163"/>
      <c r="AJ12" s="1163"/>
      <c r="AK12" s="1163"/>
      <c r="AL12" s="1163"/>
      <c r="AM12" s="1163"/>
      <c r="AN12" s="1163"/>
      <c r="AO12" s="1163"/>
      <c r="AP12" s="1163"/>
      <c r="AQ12" s="1163"/>
      <c r="AR12" s="1163"/>
      <c r="AS12" s="1163"/>
      <c r="AT12" s="1163"/>
      <c r="AU12" s="1163"/>
      <c r="AV12" s="1163"/>
      <c r="AW12" s="1163"/>
      <c r="AX12" s="1163"/>
      <c r="AY12" s="1163"/>
      <c r="AZ12" s="1163"/>
      <c r="BA12" s="1163"/>
      <c r="BB12" s="1163"/>
      <c r="BC12" s="1163"/>
      <c r="BD12" s="1163"/>
      <c r="BE12" s="1163"/>
      <c r="BF12" s="1163"/>
      <c r="BG12" s="1163"/>
      <c r="BH12" s="1163"/>
      <c r="BI12" s="1163"/>
      <c r="BJ12" s="1163"/>
      <c r="BK12" s="1163"/>
      <c r="BL12" s="1164"/>
    </row>
    <row r="13" spans="1:64">
      <c r="A13" s="1315" t="s">
        <v>15</v>
      </c>
      <c r="B13" s="1316"/>
      <c r="C13" s="1316"/>
      <c r="D13" s="1316"/>
      <c r="E13" s="1316"/>
      <c r="F13" s="1316"/>
      <c r="G13" s="1316"/>
      <c r="H13" s="1316"/>
      <c r="I13" s="1316"/>
      <c r="J13" s="1316"/>
      <c r="K13" s="1316"/>
      <c r="L13" s="1316"/>
      <c r="M13" s="1316"/>
      <c r="N13" s="1316"/>
      <c r="O13" s="1316"/>
      <c r="P13" s="1316"/>
      <c r="Q13" s="1316"/>
      <c r="R13" s="1316"/>
      <c r="S13" s="1316"/>
      <c r="T13" s="1316"/>
      <c r="U13" s="1316"/>
      <c r="V13" s="1316"/>
      <c r="W13" s="1316"/>
      <c r="X13" s="1316"/>
      <c r="Y13" s="1316"/>
      <c r="Z13" s="1316"/>
      <c r="AA13" s="1316"/>
      <c r="AB13" s="1316"/>
      <c r="AC13" s="1316"/>
      <c r="AD13" s="1316"/>
      <c r="AE13" s="1316"/>
      <c r="AF13" s="1316"/>
      <c r="AG13" s="1317"/>
      <c r="AH13" s="1176" t="s">
        <v>16</v>
      </c>
      <c r="AI13" s="1177"/>
      <c r="AJ13" s="1177"/>
      <c r="AK13" s="1177"/>
      <c r="AL13" s="1177"/>
      <c r="AM13" s="1177"/>
      <c r="AN13" s="1177"/>
      <c r="AO13" s="1177"/>
      <c r="AP13" s="1177"/>
      <c r="AQ13" s="1177"/>
      <c r="AR13" s="1177"/>
      <c r="AS13" s="1177"/>
      <c r="AT13" s="1177"/>
      <c r="AU13" s="1177"/>
      <c r="AV13" s="1177"/>
      <c r="AW13" s="1177"/>
      <c r="AX13" s="1177"/>
      <c r="AY13" s="1177"/>
      <c r="AZ13" s="1177"/>
      <c r="BA13" s="1177"/>
      <c r="BB13" s="1177"/>
      <c r="BC13" s="1177"/>
      <c r="BD13" s="1177"/>
      <c r="BE13" s="1177"/>
      <c r="BF13" s="1177"/>
      <c r="BG13" s="1177"/>
      <c r="BH13" s="1177"/>
      <c r="BI13" s="1177"/>
      <c r="BJ13" s="1177"/>
      <c r="BK13" s="1177"/>
      <c r="BL13" s="1178"/>
    </row>
    <row r="14" spans="1:64">
      <c r="A14" s="1341" t="str">
        <f>'1'!A14</f>
        <v>PT PLI</v>
      </c>
      <c r="B14" s="1342"/>
      <c r="C14" s="1342"/>
      <c r="D14" s="1342"/>
      <c r="E14" s="1342"/>
      <c r="F14" s="1342"/>
      <c r="G14" s="1342"/>
      <c r="H14" s="1342"/>
      <c r="I14" s="1342"/>
      <c r="J14" s="1342"/>
      <c r="K14" s="1342"/>
      <c r="L14" s="1342"/>
      <c r="M14" s="1342"/>
      <c r="N14" s="1342"/>
      <c r="O14" s="1342"/>
      <c r="P14" s="1342"/>
      <c r="Q14" s="1342"/>
      <c r="R14" s="1342"/>
      <c r="S14" s="1342"/>
      <c r="T14" s="1342"/>
      <c r="U14" s="1342"/>
      <c r="V14" s="1342"/>
      <c r="W14" s="1342"/>
      <c r="X14" s="1342"/>
      <c r="Y14" s="1342"/>
      <c r="Z14" s="1342"/>
      <c r="AA14" s="1342"/>
      <c r="AB14" s="1342"/>
      <c r="AC14" s="1342"/>
      <c r="AD14" s="1342"/>
      <c r="AE14" s="1342"/>
      <c r="AF14" s="1342"/>
      <c r="AG14" s="1343"/>
      <c r="AH14" s="1179"/>
      <c r="AI14" s="1180"/>
      <c r="AJ14" s="1180"/>
      <c r="AK14" s="1180"/>
      <c r="AL14" s="1180"/>
      <c r="AM14" s="1180"/>
      <c r="AN14" s="1180"/>
      <c r="AO14" s="1180"/>
      <c r="AP14" s="1180"/>
      <c r="AQ14" s="1180"/>
      <c r="AR14" s="1180"/>
      <c r="AS14" s="1180"/>
      <c r="AT14" s="1180"/>
      <c r="AU14" s="1180"/>
      <c r="AV14" s="1180"/>
      <c r="AW14" s="1180"/>
      <c r="AX14" s="1180"/>
      <c r="AY14" s="1180"/>
      <c r="AZ14" s="1180"/>
      <c r="BA14" s="1180"/>
      <c r="BB14" s="1180"/>
      <c r="BC14" s="1180"/>
      <c r="BD14" s="1180"/>
      <c r="BE14" s="1180"/>
      <c r="BF14" s="1180"/>
      <c r="BG14" s="1180"/>
      <c r="BH14" s="1180"/>
      <c r="BI14" s="1180"/>
      <c r="BJ14" s="1180"/>
      <c r="BK14" s="1180"/>
      <c r="BL14" s="1181"/>
    </row>
    <row r="15" spans="1:64">
      <c r="A15" s="1344"/>
      <c r="B15" s="1345"/>
      <c r="C15" s="1345"/>
      <c r="D15" s="1345"/>
      <c r="E15" s="1345"/>
      <c r="F15" s="1345"/>
      <c r="G15" s="1345"/>
      <c r="H15" s="1345"/>
      <c r="I15" s="1345"/>
      <c r="J15" s="1345"/>
      <c r="K15" s="1345"/>
      <c r="L15" s="1345"/>
      <c r="M15" s="1345"/>
      <c r="N15" s="1345"/>
      <c r="O15" s="1345"/>
      <c r="P15" s="1345"/>
      <c r="Q15" s="1345"/>
      <c r="R15" s="1345"/>
      <c r="S15" s="1345"/>
      <c r="T15" s="1345"/>
      <c r="U15" s="1345"/>
      <c r="V15" s="1345"/>
      <c r="W15" s="1345"/>
      <c r="X15" s="1345"/>
      <c r="Y15" s="1345"/>
      <c r="Z15" s="1345"/>
      <c r="AA15" s="1345"/>
      <c r="AB15" s="1345"/>
      <c r="AC15" s="1345"/>
      <c r="AD15" s="1345"/>
      <c r="AE15" s="1345"/>
      <c r="AF15" s="1345"/>
      <c r="AG15" s="1346"/>
      <c r="AH15" s="1179"/>
      <c r="AI15" s="1180"/>
      <c r="AJ15" s="1180"/>
      <c r="AK15" s="1180"/>
      <c r="AL15" s="1180"/>
      <c r="AM15" s="1180"/>
      <c r="AN15" s="1180"/>
      <c r="AO15" s="1180"/>
      <c r="AP15" s="1180"/>
      <c r="AQ15" s="1180"/>
      <c r="AR15" s="1180"/>
      <c r="AS15" s="1180"/>
      <c r="AT15" s="1180"/>
      <c r="AU15" s="1180"/>
      <c r="AV15" s="1180"/>
      <c r="AW15" s="1180"/>
      <c r="AX15" s="1180"/>
      <c r="AY15" s="1180"/>
      <c r="AZ15" s="1180"/>
      <c r="BA15" s="1180"/>
      <c r="BB15" s="1180"/>
      <c r="BC15" s="1180"/>
      <c r="BD15" s="1180"/>
      <c r="BE15" s="1180"/>
      <c r="BF15" s="1180"/>
      <c r="BG15" s="1180"/>
      <c r="BH15" s="1180"/>
      <c r="BI15" s="1180"/>
      <c r="BJ15" s="1180"/>
      <c r="BK15" s="1180"/>
      <c r="BL15" s="1181"/>
    </row>
    <row r="16" spans="1:64">
      <c r="A16" s="1284" t="s">
        <v>18</v>
      </c>
      <c r="B16" s="1285"/>
      <c r="C16" s="1285"/>
      <c r="D16" s="1285"/>
      <c r="E16" s="1285"/>
      <c r="F16" s="1285"/>
      <c r="G16" s="1285"/>
      <c r="H16" s="1285"/>
      <c r="I16" s="1285"/>
      <c r="J16" s="1285"/>
      <c r="K16" s="1285"/>
      <c r="L16" s="1285"/>
      <c r="M16" s="1285"/>
      <c r="N16" s="1285"/>
      <c r="O16" s="1285"/>
      <c r="P16" s="1286"/>
      <c r="Q16" s="1284" t="s">
        <v>19</v>
      </c>
      <c r="R16" s="1285"/>
      <c r="S16" s="1285"/>
      <c r="T16" s="1285"/>
      <c r="U16" s="1285"/>
      <c r="V16" s="1285"/>
      <c r="W16" s="1285"/>
      <c r="X16" s="1285"/>
      <c r="Y16" s="1285"/>
      <c r="Z16" s="1285"/>
      <c r="AA16" s="1285"/>
      <c r="AB16" s="1285"/>
      <c r="AC16" s="1285"/>
      <c r="AD16" s="1285"/>
      <c r="AE16" s="1285"/>
      <c r="AF16" s="1285"/>
      <c r="AG16" s="1286"/>
      <c r="AH16" s="1179"/>
      <c r="AI16" s="1180"/>
      <c r="AJ16" s="1180"/>
      <c r="AK16" s="1180"/>
      <c r="AL16" s="1180"/>
      <c r="AM16" s="1180"/>
      <c r="AN16" s="1180"/>
      <c r="AO16" s="1180"/>
      <c r="AP16" s="1180"/>
      <c r="AQ16" s="1180"/>
      <c r="AR16" s="1180"/>
      <c r="AS16" s="1180"/>
      <c r="AT16" s="1180"/>
      <c r="AU16" s="1180"/>
      <c r="AV16" s="1180"/>
      <c r="AW16" s="1180"/>
      <c r="AX16" s="1180"/>
      <c r="AY16" s="1180"/>
      <c r="AZ16" s="1180"/>
      <c r="BA16" s="1180"/>
      <c r="BB16" s="1180"/>
      <c r="BC16" s="1180"/>
      <c r="BD16" s="1180"/>
      <c r="BE16" s="1180"/>
      <c r="BF16" s="1180"/>
      <c r="BG16" s="1180"/>
      <c r="BH16" s="1180"/>
      <c r="BI16" s="1180"/>
      <c r="BJ16" s="1180"/>
      <c r="BK16" s="1180"/>
      <c r="BL16" s="1181"/>
    </row>
    <row r="17" spans="1:64">
      <c r="A17" s="1287"/>
      <c r="B17" s="1288"/>
      <c r="C17" s="1288"/>
      <c r="D17" s="1288"/>
      <c r="E17" s="1288"/>
      <c r="F17" s="1288"/>
      <c r="G17" s="1288"/>
      <c r="H17" s="1288"/>
      <c r="I17" s="1288"/>
      <c r="J17" s="1288"/>
      <c r="K17" s="1288"/>
      <c r="L17" s="1288"/>
      <c r="M17" s="1288"/>
      <c r="N17" s="1288"/>
      <c r="O17" s="1288"/>
      <c r="P17" s="1289"/>
      <c r="Q17" s="1287"/>
      <c r="R17" s="1288"/>
      <c r="S17" s="1288"/>
      <c r="T17" s="1288"/>
      <c r="U17" s="1288"/>
      <c r="V17" s="1288"/>
      <c r="W17" s="1288"/>
      <c r="X17" s="1288"/>
      <c r="Y17" s="1288"/>
      <c r="Z17" s="1288"/>
      <c r="AA17" s="1288"/>
      <c r="AB17" s="1288"/>
      <c r="AC17" s="1288"/>
      <c r="AD17" s="1288"/>
      <c r="AE17" s="1288"/>
      <c r="AF17" s="1288"/>
      <c r="AG17" s="1289"/>
      <c r="AH17" s="1179"/>
      <c r="AI17" s="1180"/>
      <c r="AJ17" s="1180"/>
      <c r="AK17" s="1180"/>
      <c r="AL17" s="1180"/>
      <c r="AM17" s="1180"/>
      <c r="AN17" s="1180"/>
      <c r="AO17" s="1180"/>
      <c r="AP17" s="1180"/>
      <c r="AQ17" s="1180"/>
      <c r="AR17" s="1180"/>
      <c r="AS17" s="1180"/>
      <c r="AT17" s="1180"/>
      <c r="AU17" s="1180"/>
      <c r="AV17" s="1180"/>
      <c r="AW17" s="1180"/>
      <c r="AX17" s="1180"/>
      <c r="AY17" s="1180"/>
      <c r="AZ17" s="1180"/>
      <c r="BA17" s="1180"/>
      <c r="BB17" s="1180"/>
      <c r="BC17" s="1180"/>
      <c r="BD17" s="1180"/>
      <c r="BE17" s="1180"/>
      <c r="BF17" s="1180"/>
      <c r="BG17" s="1180"/>
      <c r="BH17" s="1180"/>
      <c r="BI17" s="1180"/>
      <c r="BJ17" s="1180"/>
      <c r="BK17" s="1180"/>
      <c r="BL17" s="1181"/>
    </row>
    <row r="18" spans="1:64">
      <c r="A18" s="1315" t="s">
        <v>20</v>
      </c>
      <c r="B18" s="1316"/>
      <c r="C18" s="1316"/>
      <c r="D18" s="1316"/>
      <c r="E18" s="1316"/>
      <c r="F18" s="1316"/>
      <c r="G18" s="1316"/>
      <c r="H18" s="1316"/>
      <c r="I18" s="1316"/>
      <c r="J18" s="1316"/>
      <c r="K18" s="1316"/>
      <c r="L18" s="1316"/>
      <c r="M18" s="1316"/>
      <c r="N18" s="1316"/>
      <c r="O18" s="1316"/>
      <c r="P18" s="1316"/>
      <c r="Q18" s="1316"/>
      <c r="R18" s="1316"/>
      <c r="S18" s="1316"/>
      <c r="T18" s="1316"/>
      <c r="U18" s="1316"/>
      <c r="V18" s="1316"/>
      <c r="W18" s="1316"/>
      <c r="X18" s="1316"/>
      <c r="Y18" s="1316"/>
      <c r="Z18" s="1316"/>
      <c r="AA18" s="1316"/>
      <c r="AB18" s="1316"/>
      <c r="AC18" s="1316"/>
      <c r="AD18" s="1316"/>
      <c r="AE18" s="1316"/>
      <c r="AF18" s="1316"/>
      <c r="AG18" s="1317"/>
      <c r="AH18" s="1179"/>
      <c r="AI18" s="1180"/>
      <c r="AJ18" s="1180"/>
      <c r="AK18" s="1180"/>
      <c r="AL18" s="1180"/>
      <c r="AM18" s="1180"/>
      <c r="AN18" s="1180"/>
      <c r="AO18" s="1180"/>
      <c r="AP18" s="1180"/>
      <c r="AQ18" s="1180"/>
      <c r="AR18" s="1180"/>
      <c r="AS18" s="1180"/>
      <c r="AT18" s="1180"/>
      <c r="AU18" s="1180"/>
      <c r="AV18" s="1180"/>
      <c r="AW18" s="1180"/>
      <c r="AX18" s="1180"/>
      <c r="AY18" s="1180"/>
      <c r="AZ18" s="1180"/>
      <c r="BA18" s="1180"/>
      <c r="BB18" s="1180"/>
      <c r="BC18" s="1180"/>
      <c r="BD18" s="1180"/>
      <c r="BE18" s="1180"/>
      <c r="BF18" s="1180"/>
      <c r="BG18" s="1180"/>
      <c r="BH18" s="1180"/>
      <c r="BI18" s="1180"/>
      <c r="BJ18" s="1180"/>
      <c r="BK18" s="1180"/>
      <c r="BL18" s="1181"/>
    </row>
    <row r="19" spans="1:64">
      <c r="A19" s="1338" t="str">
        <f>'1'!A19</f>
        <v>SOEKARNO-HATTA INTERNATIONAL AIRPORT</v>
      </c>
      <c r="B19" s="1339"/>
      <c r="C19" s="1339"/>
      <c r="D19" s="1339"/>
      <c r="E19" s="1339"/>
      <c r="F19" s="1339"/>
      <c r="G19" s="1339"/>
      <c r="H19" s="1339"/>
      <c r="I19" s="1339"/>
      <c r="J19" s="1339"/>
      <c r="K19" s="1339"/>
      <c r="L19" s="1339"/>
      <c r="M19" s="1339"/>
      <c r="N19" s="1339"/>
      <c r="O19" s="1339"/>
      <c r="P19" s="1339"/>
      <c r="Q19" s="1339"/>
      <c r="R19" s="1339"/>
      <c r="S19" s="1339"/>
      <c r="T19" s="1339"/>
      <c r="U19" s="1339"/>
      <c r="V19" s="1339"/>
      <c r="W19" s="1339"/>
      <c r="X19" s="1339"/>
      <c r="Y19" s="1339"/>
      <c r="Z19" s="1339"/>
      <c r="AA19" s="1339"/>
      <c r="AB19" s="1339"/>
      <c r="AC19" s="1339"/>
      <c r="AD19" s="1339"/>
      <c r="AE19" s="1339"/>
      <c r="AF19" s="1339"/>
      <c r="AG19" s="1340"/>
      <c r="AH19" s="1182"/>
      <c r="AI19" s="1183"/>
      <c r="AJ19" s="1183"/>
      <c r="AK19" s="1183"/>
      <c r="AL19" s="1183"/>
      <c r="AM19" s="1183"/>
      <c r="AN19" s="1183"/>
      <c r="AO19" s="1183"/>
      <c r="AP19" s="1183"/>
      <c r="AQ19" s="1183"/>
      <c r="AR19" s="1183"/>
      <c r="AS19" s="1183"/>
      <c r="AT19" s="1183"/>
      <c r="AU19" s="1183"/>
      <c r="AV19" s="1183"/>
      <c r="AW19" s="1183"/>
      <c r="AX19" s="1183"/>
      <c r="AY19" s="1183"/>
      <c r="AZ19" s="1183"/>
      <c r="BA19" s="1183"/>
      <c r="BB19" s="1183"/>
      <c r="BC19" s="1183"/>
      <c r="BD19" s="1183"/>
      <c r="BE19" s="1183"/>
      <c r="BF19" s="1183"/>
      <c r="BG19" s="1183"/>
      <c r="BH19" s="1183"/>
      <c r="BI19" s="1183"/>
      <c r="BJ19" s="1183"/>
      <c r="BK19" s="1183"/>
      <c r="BL19" s="1184"/>
    </row>
    <row r="20" spans="1:64" ht="15" customHeight="1">
      <c r="A20" s="1324" t="str">
        <f>'1'!A20</f>
        <v>SIN</v>
      </c>
      <c r="B20" s="1325"/>
      <c r="C20" s="1326"/>
      <c r="D20" s="1130" t="s">
        <v>23</v>
      </c>
      <c r="E20" s="1131"/>
      <c r="F20" s="1131"/>
      <c r="G20" s="1131"/>
      <c r="H20" s="1131"/>
      <c r="I20" s="1131"/>
      <c r="J20" s="1131"/>
      <c r="K20" s="1131"/>
      <c r="L20" s="1131"/>
      <c r="M20" s="1131"/>
      <c r="N20" s="1131"/>
      <c r="O20" s="1131"/>
      <c r="P20" s="1131"/>
      <c r="Q20" s="1131"/>
      <c r="R20" s="1131"/>
      <c r="S20" s="1131"/>
      <c r="T20" s="1131"/>
      <c r="U20" s="1132"/>
      <c r="V20" s="1284" t="s">
        <v>26</v>
      </c>
      <c r="W20" s="1285"/>
      <c r="X20" s="1286"/>
      <c r="Y20" s="1284" t="s">
        <v>27</v>
      </c>
      <c r="Z20" s="1285"/>
      <c r="AA20" s="1286"/>
      <c r="AB20" s="1284" t="s">
        <v>26</v>
      </c>
      <c r="AC20" s="1285"/>
      <c r="AD20" s="1286"/>
      <c r="AE20" s="1284" t="s">
        <v>27</v>
      </c>
      <c r="AF20" s="1285"/>
      <c r="AG20" s="1286"/>
      <c r="AH20" s="1145" t="s">
        <v>28</v>
      </c>
      <c r="AI20" s="1146"/>
      <c r="AJ20" s="1146"/>
      <c r="AK20" s="1147"/>
      <c r="AL20" s="1290" t="s">
        <v>29</v>
      </c>
      <c r="AM20" s="1291"/>
      <c r="AN20" s="1148" t="s">
        <v>30</v>
      </c>
      <c r="AO20" s="1149"/>
      <c r="AP20" s="1149"/>
      <c r="AQ20" s="1150"/>
      <c r="AR20" s="1148" t="s">
        <v>31</v>
      </c>
      <c r="AS20" s="1149"/>
      <c r="AT20" s="1149"/>
      <c r="AU20" s="1151"/>
      <c r="AV20" s="1152" t="s">
        <v>32</v>
      </c>
      <c r="AW20" s="1153"/>
      <c r="AX20" s="1153"/>
      <c r="AY20" s="1153"/>
      <c r="AZ20" s="1153"/>
      <c r="BA20" s="1153"/>
      <c r="BB20" s="1153"/>
      <c r="BC20" s="1153"/>
      <c r="BD20" s="1154"/>
      <c r="BE20" s="1152" t="s">
        <v>33</v>
      </c>
      <c r="BF20" s="1153"/>
      <c r="BG20" s="1153"/>
      <c r="BH20" s="1153"/>
      <c r="BI20" s="1153"/>
      <c r="BJ20" s="1153"/>
      <c r="BK20" s="1153"/>
      <c r="BL20" s="1154"/>
    </row>
    <row r="21" spans="1:64">
      <c r="A21" s="1327"/>
      <c r="B21" s="414"/>
      <c r="C21" s="1328"/>
      <c r="D21" s="1185" t="str">
        <f>'1'!D21</f>
        <v>GARUDA INDONESIA</v>
      </c>
      <c r="E21" s="283"/>
      <c r="F21" s="283"/>
      <c r="G21" s="283"/>
      <c r="H21" s="283"/>
      <c r="I21" s="283"/>
      <c r="J21" s="283"/>
      <c r="K21" s="283"/>
      <c r="L21" s="283"/>
      <c r="M21" s="283"/>
      <c r="N21" s="283"/>
      <c r="O21" s="283"/>
      <c r="P21" s="283"/>
      <c r="Q21" s="283"/>
      <c r="R21" s="1186"/>
      <c r="S21" s="1186"/>
      <c r="T21" s="1186"/>
      <c r="U21" s="1187"/>
      <c r="V21" s="1287"/>
      <c r="W21" s="1288"/>
      <c r="X21" s="1289"/>
      <c r="Y21" s="1287"/>
      <c r="Z21" s="1288"/>
      <c r="AA21" s="1289"/>
      <c r="AB21" s="1287"/>
      <c r="AC21" s="1288"/>
      <c r="AD21" s="1289"/>
      <c r="AE21" s="1287"/>
      <c r="AF21" s="1288"/>
      <c r="AG21" s="1289"/>
      <c r="AH21" s="1188" t="str">
        <f>'1'!AH21</f>
        <v>IDR</v>
      </c>
      <c r="AI21" s="1189"/>
      <c r="AJ21" s="1189"/>
      <c r="AK21" s="1190"/>
      <c r="AL21" s="1292"/>
      <c r="AM21" s="1293"/>
      <c r="AN21" s="1191" t="s">
        <v>35</v>
      </c>
      <c r="AO21" s="1192"/>
      <c r="AP21" s="1191" t="s">
        <v>36</v>
      </c>
      <c r="AQ21" s="1192"/>
      <c r="AR21" s="1191" t="s">
        <v>35</v>
      </c>
      <c r="AS21" s="1192"/>
      <c r="AT21" s="1334" t="s">
        <v>36</v>
      </c>
      <c r="AU21" s="1192"/>
      <c r="AV21" s="1335" t="str">
        <f>'1'!AV21</f>
        <v>NVD</v>
      </c>
      <c r="AW21" s="1336"/>
      <c r="AX21" s="1336"/>
      <c r="AY21" s="1336"/>
      <c r="AZ21" s="1336"/>
      <c r="BA21" s="1336"/>
      <c r="BB21" s="1336"/>
      <c r="BC21" s="1336"/>
      <c r="BD21" s="1337"/>
      <c r="BE21" s="1335" t="str">
        <f>'1'!BE21</f>
        <v>NCV</v>
      </c>
      <c r="BF21" s="1336"/>
      <c r="BG21" s="1336"/>
      <c r="BH21" s="1336"/>
      <c r="BI21" s="1336"/>
      <c r="BJ21" s="1336"/>
      <c r="BK21" s="1336"/>
      <c r="BL21" s="1337"/>
    </row>
    <row r="22" spans="1:64">
      <c r="A22" s="1217" t="s">
        <v>39</v>
      </c>
      <c r="B22" s="1218"/>
      <c r="C22" s="1218"/>
      <c r="D22" s="1218"/>
      <c r="E22" s="1218"/>
      <c r="F22" s="1218"/>
      <c r="G22" s="1218"/>
      <c r="H22" s="1218"/>
      <c r="I22" s="1218"/>
      <c r="J22" s="1218"/>
      <c r="K22" s="1218"/>
      <c r="L22" s="1218"/>
      <c r="M22" s="1218"/>
      <c r="N22" s="1218"/>
      <c r="O22" s="1218"/>
      <c r="P22" s="1218"/>
      <c r="Q22" s="1219"/>
      <c r="R22" s="1146" t="s">
        <v>40</v>
      </c>
      <c r="S22" s="1146"/>
      <c r="T22" s="1146"/>
      <c r="U22" s="1146"/>
      <c r="V22" s="75"/>
      <c r="W22" s="75"/>
      <c r="X22" s="75"/>
      <c r="Y22" s="75"/>
      <c r="Z22" s="76"/>
      <c r="AA22" s="75"/>
      <c r="AB22" s="75"/>
      <c r="AC22" s="75"/>
      <c r="AD22" s="1146" t="s">
        <v>40</v>
      </c>
      <c r="AE22" s="1146"/>
      <c r="AF22" s="1146"/>
      <c r="AG22" s="1147"/>
      <c r="AH22" s="1145" t="s">
        <v>41</v>
      </c>
      <c r="AI22" s="1146"/>
      <c r="AJ22" s="1146"/>
      <c r="AK22" s="1146"/>
      <c r="AL22" s="1146"/>
      <c r="AM22" s="1146"/>
      <c r="AN22" s="1146"/>
      <c r="AO22" s="1146"/>
      <c r="AP22" s="1146"/>
      <c r="AQ22" s="1147"/>
      <c r="AR22" s="1211" t="s">
        <v>42</v>
      </c>
      <c r="AS22" s="1212"/>
      <c r="AT22" s="1212"/>
      <c r="AU22" s="1212"/>
      <c r="AV22" s="1212"/>
      <c r="AW22" s="1212"/>
      <c r="AX22" s="1212"/>
      <c r="AY22" s="1212"/>
      <c r="AZ22" s="1212"/>
      <c r="BA22" s="1212"/>
      <c r="BB22" s="1212"/>
      <c r="BC22" s="1212"/>
      <c r="BD22" s="1212"/>
      <c r="BE22" s="1212"/>
      <c r="BF22" s="1212"/>
      <c r="BG22" s="1212"/>
      <c r="BH22" s="1212"/>
      <c r="BI22" s="1212"/>
      <c r="BJ22" s="1212"/>
      <c r="BK22" s="1212"/>
      <c r="BL22" s="1213"/>
    </row>
    <row r="23" spans="1:64">
      <c r="A23" s="1203" t="str">
        <f>'1'!A23</f>
        <v>SINGAPORE</v>
      </c>
      <c r="B23" s="1204"/>
      <c r="C23" s="1204"/>
      <c r="D23" s="1204"/>
      <c r="E23" s="1204"/>
      <c r="F23" s="1204"/>
      <c r="G23" s="1204"/>
      <c r="H23" s="1204"/>
      <c r="I23" s="1204"/>
      <c r="J23" s="1204"/>
      <c r="K23" s="1204"/>
      <c r="L23" s="1204"/>
      <c r="M23" s="1204"/>
      <c r="N23" s="1204"/>
      <c r="O23" s="1204"/>
      <c r="P23" s="1204"/>
      <c r="Q23" s="1205"/>
      <c r="R23" s="77" t="str">
        <f>'3'!R23</f>
        <v>GA 824</v>
      </c>
      <c r="S23" s="77"/>
      <c r="T23" s="77"/>
      <c r="U23" s="77"/>
      <c r="V23" s="77"/>
      <c r="W23" s="77"/>
      <c r="X23" s="77"/>
      <c r="Y23" s="77"/>
      <c r="Z23" s="1206">
        <f>'3'!Z23</f>
        <v>46171</v>
      </c>
      <c r="AA23" s="1207"/>
      <c r="AB23" s="1207"/>
      <c r="AC23" s="1207"/>
      <c r="AD23" s="1207"/>
      <c r="AE23" s="1207"/>
      <c r="AF23" s="1207"/>
      <c r="AG23" s="1208"/>
      <c r="AH23" s="1209" t="s">
        <v>45</v>
      </c>
      <c r="AI23" s="750"/>
      <c r="AJ23" s="750"/>
      <c r="AK23" s="750"/>
      <c r="AL23" s="750"/>
      <c r="AM23" s="750"/>
      <c r="AN23" s="750"/>
      <c r="AO23" s="750"/>
      <c r="AP23" s="750"/>
      <c r="AQ23" s="1210"/>
      <c r="AR23" s="1214"/>
      <c r="AS23" s="1215"/>
      <c r="AT23" s="1215"/>
      <c r="AU23" s="1215"/>
      <c r="AV23" s="1215"/>
      <c r="AW23" s="1215"/>
      <c r="AX23" s="1215"/>
      <c r="AY23" s="1215"/>
      <c r="AZ23" s="1215"/>
      <c r="BA23" s="1215"/>
      <c r="BB23" s="1215"/>
      <c r="BC23" s="1215"/>
      <c r="BD23" s="1215"/>
      <c r="BE23" s="1215"/>
      <c r="BF23" s="1215"/>
      <c r="BG23" s="1215"/>
      <c r="BH23" s="1215"/>
      <c r="BI23" s="1215"/>
      <c r="BJ23" s="1215"/>
      <c r="BK23" s="1215"/>
      <c r="BL23" s="1216"/>
    </row>
    <row r="24" spans="1:64">
      <c r="A24" s="1179" t="s">
        <v>46</v>
      </c>
      <c r="B24" s="1180"/>
      <c r="C24" s="1180"/>
      <c r="D24" s="1180"/>
      <c r="E24" s="1180"/>
      <c r="F24" s="1180"/>
      <c r="G24" s="1180"/>
      <c r="H24" s="1180"/>
      <c r="I24" s="1180"/>
      <c r="J24" s="1180"/>
      <c r="K24" s="1180"/>
      <c r="L24" s="1180"/>
      <c r="M24" s="1180"/>
      <c r="N24" s="1180"/>
      <c r="O24" s="1180"/>
      <c r="P24" s="1180"/>
      <c r="Q24" s="1180"/>
      <c r="R24" s="1177"/>
      <c r="S24" s="1177"/>
      <c r="T24" s="1177"/>
      <c r="U24" s="1177"/>
      <c r="V24" s="1177"/>
      <c r="W24" s="1177"/>
      <c r="X24" s="1177"/>
      <c r="Y24" s="1177"/>
      <c r="Z24" s="1177"/>
      <c r="AA24" s="1177"/>
      <c r="AB24" s="1177"/>
      <c r="AC24" s="1177"/>
      <c r="AD24" s="1177"/>
      <c r="AE24" s="1177"/>
      <c r="AF24" s="1177"/>
      <c r="AG24" s="1177"/>
      <c r="AH24" s="1177"/>
      <c r="AI24" s="1177"/>
      <c r="AJ24" s="1177"/>
      <c r="AK24" s="1177"/>
      <c r="AL24" s="1177"/>
      <c r="AM24" s="1177"/>
      <c r="AN24" s="1177"/>
      <c r="AO24" s="1177"/>
      <c r="AP24" s="1177"/>
      <c r="AQ24" s="1177"/>
      <c r="AR24" s="1177"/>
      <c r="AS24" s="1177"/>
      <c r="AT24" s="1177"/>
      <c r="AU24" s="1177"/>
      <c r="AV24" s="1177"/>
      <c r="AW24" s="1177"/>
      <c r="AX24" s="1177"/>
      <c r="AY24" s="1177"/>
      <c r="AZ24" s="1177"/>
      <c r="BA24" s="1177"/>
      <c r="BB24" s="1177"/>
      <c r="BC24" s="1177"/>
      <c r="BD24" s="1177"/>
      <c r="BE24" s="1177"/>
      <c r="BF24" s="1177"/>
      <c r="BG24" s="1177"/>
      <c r="BH24" s="1177"/>
      <c r="BI24" s="1177"/>
      <c r="BJ24" s="1177"/>
      <c r="BK24" s="1177"/>
      <c r="BL24" s="1178"/>
    </row>
    <row r="25" spans="1:64">
      <c r="A25" s="1167"/>
      <c r="B25" s="340"/>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1166"/>
    </row>
    <row r="26" spans="1:64">
      <c r="A26" s="1168"/>
      <c r="B26" s="1169"/>
      <c r="C26" s="1169"/>
      <c r="D26" s="1169"/>
      <c r="E26" s="1169"/>
      <c r="F26" s="1169"/>
      <c r="G26" s="1169"/>
      <c r="H26" s="1169"/>
      <c r="I26" s="1169"/>
      <c r="J26" s="1169"/>
      <c r="K26" s="1169"/>
      <c r="L26" s="1169"/>
      <c r="M26" s="1169"/>
      <c r="N26" s="1169"/>
      <c r="O26" s="1169"/>
      <c r="P26" s="1169"/>
      <c r="Q26" s="1169"/>
      <c r="R26" s="1169"/>
      <c r="S26" s="1169"/>
      <c r="T26" s="1169"/>
      <c r="U26" s="1169"/>
      <c r="V26" s="1169"/>
      <c r="W26" s="1169"/>
      <c r="X26" s="1169"/>
      <c r="Y26" s="1169"/>
      <c r="Z26" s="1169"/>
      <c r="AA26" s="1169"/>
      <c r="AB26" s="1169"/>
      <c r="AC26" s="1169"/>
      <c r="AD26" s="1169"/>
      <c r="AE26" s="1169"/>
      <c r="AF26" s="1169"/>
      <c r="AG26" s="1169"/>
      <c r="AH26" s="1169"/>
      <c r="AI26" s="1169"/>
      <c r="AJ26" s="1169"/>
      <c r="AK26" s="1169"/>
      <c r="AL26" s="1169"/>
      <c r="AM26" s="1169"/>
      <c r="AN26" s="1169"/>
      <c r="AO26" s="1169"/>
      <c r="AP26" s="1169"/>
      <c r="AQ26" s="1169"/>
      <c r="AR26" s="1169"/>
      <c r="AS26" s="1169"/>
      <c r="AT26" s="1169"/>
      <c r="AU26" s="1169"/>
      <c r="AV26" s="1169"/>
      <c r="AW26" s="1169"/>
      <c r="AX26" s="1169"/>
      <c r="AY26" s="1169"/>
      <c r="AZ26" s="1169"/>
      <c r="BA26" s="1169"/>
      <c r="BB26" s="1169"/>
      <c r="BC26" s="1169"/>
      <c r="BD26" s="1169"/>
      <c r="BE26" s="1169"/>
      <c r="BF26" s="1169"/>
      <c r="BG26" s="1169"/>
      <c r="BH26" s="1169"/>
      <c r="BI26" s="1169"/>
      <c r="BJ26" s="1169"/>
      <c r="BK26" s="1169"/>
      <c r="BL26" s="1170"/>
    </row>
    <row r="27" spans="1:64" ht="15.75">
      <c r="A27" s="1197" t="s">
        <v>47</v>
      </c>
      <c r="B27" s="1198"/>
      <c r="C27" s="1199"/>
      <c r="D27" s="1197" t="s">
        <v>48</v>
      </c>
      <c r="E27" s="1198"/>
      <c r="F27" s="1198"/>
      <c r="G27" s="1198"/>
      <c r="H27" s="1198"/>
      <c r="I27" s="1199"/>
      <c r="J27" s="1296" t="s">
        <v>49</v>
      </c>
      <c r="K27" s="1299"/>
      <c r="L27" s="1329" t="s">
        <v>50</v>
      </c>
      <c r="M27" s="1330"/>
      <c r="N27" s="1330"/>
      <c r="O27" s="1330"/>
      <c r="P27" s="1330"/>
      <c r="Q27" s="1331"/>
      <c r="R27" s="1299"/>
      <c r="S27" s="1318" t="s">
        <v>51</v>
      </c>
      <c r="T27" s="1319"/>
      <c r="U27" s="1319"/>
      <c r="V27" s="1319"/>
      <c r="W27" s="1319"/>
      <c r="X27" s="1319"/>
      <c r="Y27" s="1320"/>
      <c r="Z27" s="1299"/>
      <c r="AA27" s="78" t="s">
        <v>52</v>
      </c>
      <c r="AB27" s="79"/>
      <c r="AC27" s="79"/>
      <c r="AD27" s="79"/>
      <c r="AE27" s="79"/>
      <c r="AF27" s="79"/>
      <c r="AG27" s="80"/>
      <c r="AH27" s="1299"/>
      <c r="AI27" s="1318" t="s">
        <v>53</v>
      </c>
      <c r="AJ27" s="1319"/>
      <c r="AK27" s="1319"/>
      <c r="AL27" s="1319"/>
      <c r="AM27" s="1319"/>
      <c r="AN27" s="1319"/>
      <c r="AO27" s="1319"/>
      <c r="AP27" s="1319"/>
      <c r="AQ27" s="1320"/>
      <c r="AR27" s="1299"/>
      <c r="AS27" s="1197" t="s">
        <v>54</v>
      </c>
      <c r="AT27" s="1319"/>
      <c r="AU27" s="1319"/>
      <c r="AV27" s="1319"/>
      <c r="AW27" s="1319"/>
      <c r="AX27" s="1319"/>
      <c r="AY27" s="1319"/>
      <c r="AZ27" s="1319"/>
      <c r="BA27" s="1319"/>
      <c r="BB27" s="1319"/>
      <c r="BC27" s="1319"/>
      <c r="BD27" s="1319"/>
      <c r="BE27" s="1319"/>
      <c r="BF27" s="1319"/>
      <c r="BG27" s="1319"/>
      <c r="BH27" s="1319"/>
      <c r="BI27" s="1319"/>
      <c r="BJ27" s="1319"/>
      <c r="BK27" s="1319"/>
      <c r="BL27" s="1320"/>
    </row>
    <row r="28" spans="1:64" ht="21" customHeight="1">
      <c r="A28" s="1200"/>
      <c r="B28" s="1201"/>
      <c r="C28" s="1202"/>
      <c r="D28" s="1200"/>
      <c r="E28" s="1201"/>
      <c r="F28" s="1201"/>
      <c r="G28" s="1201"/>
      <c r="H28" s="1201"/>
      <c r="I28" s="1202"/>
      <c r="J28" s="1297"/>
      <c r="K28" s="1300"/>
      <c r="L28" s="257"/>
      <c r="M28" s="1332" t="s">
        <v>55</v>
      </c>
      <c r="N28" s="1333"/>
      <c r="O28" s="1333"/>
      <c r="P28" s="1333"/>
      <c r="Q28" s="1333"/>
      <c r="R28" s="1300"/>
      <c r="S28" s="1321"/>
      <c r="T28" s="1322"/>
      <c r="U28" s="1322"/>
      <c r="V28" s="1322"/>
      <c r="W28" s="1322"/>
      <c r="X28" s="1322"/>
      <c r="Y28" s="1323"/>
      <c r="Z28" s="1300"/>
      <c r="AA28" s="81"/>
      <c r="AB28" s="82"/>
      <c r="AC28" s="82"/>
      <c r="AD28" s="82"/>
      <c r="AE28" s="83" t="s">
        <v>56</v>
      </c>
      <c r="AF28" s="82"/>
      <c r="AG28" s="84"/>
      <c r="AH28" s="1300"/>
      <c r="AI28" s="1321"/>
      <c r="AJ28" s="1322"/>
      <c r="AK28" s="1322"/>
      <c r="AL28" s="1322"/>
      <c r="AM28" s="1322"/>
      <c r="AN28" s="1322"/>
      <c r="AO28" s="1322"/>
      <c r="AP28" s="1322"/>
      <c r="AQ28" s="1323"/>
      <c r="AR28" s="1300"/>
      <c r="AS28" s="1321"/>
      <c r="AT28" s="1322"/>
      <c r="AU28" s="1322"/>
      <c r="AV28" s="1322"/>
      <c r="AW28" s="1322"/>
      <c r="AX28" s="1322"/>
      <c r="AY28" s="1322"/>
      <c r="AZ28" s="1322"/>
      <c r="BA28" s="1322"/>
      <c r="BB28" s="1322"/>
      <c r="BC28" s="1322"/>
      <c r="BD28" s="1322"/>
      <c r="BE28" s="1322"/>
      <c r="BF28" s="1322"/>
      <c r="BG28" s="1322"/>
      <c r="BH28" s="1322"/>
      <c r="BI28" s="1322"/>
      <c r="BJ28" s="1322"/>
      <c r="BK28" s="1322"/>
      <c r="BL28" s="1323"/>
    </row>
    <row r="29" spans="1:64">
      <c r="A29" s="1225">
        <f>'1'!A29</f>
        <v>23</v>
      </c>
      <c r="B29" s="1226"/>
      <c r="C29" s="1227"/>
      <c r="D29" s="1233">
        <f>'1'!D29</f>
        <v>398</v>
      </c>
      <c r="E29" s="1234"/>
      <c r="F29" s="1234"/>
      <c r="G29" s="1234"/>
      <c r="H29" s="1234"/>
      <c r="I29" s="1235"/>
      <c r="J29" s="1298" t="s">
        <v>57</v>
      </c>
      <c r="K29" s="1300"/>
      <c r="L29" s="1301" t="s">
        <v>58</v>
      </c>
      <c r="M29" s="1241"/>
      <c r="N29" s="1242"/>
      <c r="O29" s="1242"/>
      <c r="P29" s="1242"/>
      <c r="Q29" s="1242"/>
      <c r="R29" s="1300"/>
      <c r="S29" s="1233">
        <f>'1'!S29</f>
        <v>398</v>
      </c>
      <c r="T29" s="1234"/>
      <c r="U29" s="1234"/>
      <c r="V29" s="1234"/>
      <c r="W29" s="1234"/>
      <c r="X29" s="1234"/>
      <c r="Y29" s="1235"/>
      <c r="Z29" s="1300"/>
      <c r="AA29" s="1233">
        <f>'1'!AA29</f>
        <v>16800</v>
      </c>
      <c r="AB29" s="1234"/>
      <c r="AC29" s="1234"/>
      <c r="AD29" s="1234"/>
      <c r="AE29" s="1234"/>
      <c r="AF29" s="1234"/>
      <c r="AG29" s="1234"/>
      <c r="AH29" s="1300"/>
      <c r="AI29" s="1244">
        <f>'1'!AI29</f>
        <v>6686400</v>
      </c>
      <c r="AJ29" s="1245"/>
      <c r="AK29" s="1245"/>
      <c r="AL29" s="1245"/>
      <c r="AM29" s="1245"/>
      <c r="AN29" s="1245"/>
      <c r="AO29" s="1245"/>
      <c r="AP29" s="1245"/>
      <c r="AQ29" s="1245"/>
      <c r="AR29" s="1300"/>
      <c r="AS29" s="1193">
        <f>'3'!AS29</f>
        <v>0</v>
      </c>
      <c r="AT29" s="1194"/>
      <c r="AU29" s="1194"/>
      <c r="AV29" s="1194"/>
      <c r="AW29" s="1194"/>
      <c r="AX29" s="1194"/>
      <c r="AY29" s="1194"/>
      <c r="AZ29" s="1194"/>
      <c r="BA29" s="1194"/>
      <c r="BB29" s="1194"/>
      <c r="BC29" s="1194"/>
      <c r="BD29" s="1194"/>
      <c r="BE29" s="1194"/>
      <c r="BF29" s="1194"/>
      <c r="BG29" s="1194"/>
      <c r="BH29" s="1194"/>
      <c r="BI29" s="1194"/>
      <c r="BJ29" s="1194"/>
      <c r="BK29" s="1194"/>
      <c r="BL29" s="1195"/>
    </row>
    <row r="30" spans="1:64">
      <c r="A30" s="1228"/>
      <c r="B30" s="308"/>
      <c r="C30" s="1229"/>
      <c r="D30" s="1236"/>
      <c r="E30" s="318"/>
      <c r="F30" s="318"/>
      <c r="G30" s="318"/>
      <c r="H30" s="318"/>
      <c r="I30" s="1237"/>
      <c r="J30" s="1185"/>
      <c r="K30" s="1300"/>
      <c r="L30" s="1302"/>
      <c r="M30" s="1243"/>
      <c r="N30" s="325"/>
      <c r="O30" s="325"/>
      <c r="P30" s="325"/>
      <c r="Q30" s="325"/>
      <c r="R30" s="1300"/>
      <c r="S30" s="1236"/>
      <c r="T30" s="318"/>
      <c r="U30" s="318"/>
      <c r="V30" s="318"/>
      <c r="W30" s="318"/>
      <c r="X30" s="318"/>
      <c r="Y30" s="1237"/>
      <c r="Z30" s="1300"/>
      <c r="AA30" s="1236"/>
      <c r="AB30" s="318"/>
      <c r="AC30" s="318"/>
      <c r="AD30" s="318"/>
      <c r="AE30" s="318"/>
      <c r="AF30" s="318"/>
      <c r="AG30" s="318"/>
      <c r="AH30" s="1300"/>
      <c r="AI30" s="1246"/>
      <c r="AJ30" s="346"/>
      <c r="AK30" s="346"/>
      <c r="AL30" s="346"/>
      <c r="AM30" s="346"/>
      <c r="AN30" s="346"/>
      <c r="AO30" s="346"/>
      <c r="AP30" s="346"/>
      <c r="AQ30" s="346"/>
      <c r="AR30" s="1300"/>
      <c r="AS30" s="1196"/>
      <c r="AT30" s="340"/>
      <c r="AU30" s="340"/>
      <c r="AV30" s="340"/>
      <c r="AW30" s="340"/>
      <c r="AX30" s="340"/>
      <c r="AY30" s="340"/>
      <c r="AZ30" s="340"/>
      <c r="BA30" s="340"/>
      <c r="BB30" s="340"/>
      <c r="BC30" s="340"/>
      <c r="BD30" s="340"/>
      <c r="BE30" s="340"/>
      <c r="BF30" s="340"/>
      <c r="BG30" s="340"/>
      <c r="BH30" s="340"/>
      <c r="BI30" s="340"/>
      <c r="BJ30" s="340"/>
      <c r="BK30" s="340"/>
      <c r="BL30" s="1166"/>
    </row>
    <row r="31" spans="1:64">
      <c r="A31" s="1228"/>
      <c r="B31" s="308"/>
      <c r="C31" s="1229"/>
      <c r="D31" s="1236"/>
      <c r="E31" s="318"/>
      <c r="F31" s="318"/>
      <c r="G31" s="318"/>
      <c r="H31" s="318"/>
      <c r="I31" s="1237"/>
      <c r="J31" s="1185"/>
      <c r="K31" s="1300"/>
      <c r="L31" s="1302"/>
      <c r="M31" s="1243"/>
      <c r="N31" s="325"/>
      <c r="O31" s="325"/>
      <c r="P31" s="325"/>
      <c r="Q31" s="325"/>
      <c r="R31" s="1300"/>
      <c r="S31" s="1236"/>
      <c r="T31" s="318"/>
      <c r="U31" s="318"/>
      <c r="V31" s="318"/>
      <c r="W31" s="318"/>
      <c r="X31" s="318"/>
      <c r="Y31" s="1237"/>
      <c r="Z31" s="1300"/>
      <c r="AA31" s="1236"/>
      <c r="AB31" s="318"/>
      <c r="AC31" s="318"/>
      <c r="AD31" s="318"/>
      <c r="AE31" s="318"/>
      <c r="AF31" s="318"/>
      <c r="AG31" s="318"/>
      <c r="AH31" s="1300"/>
      <c r="AI31" s="1246"/>
      <c r="AJ31" s="346"/>
      <c r="AK31" s="346"/>
      <c r="AL31" s="346"/>
      <c r="AM31" s="346"/>
      <c r="AN31" s="346"/>
      <c r="AO31" s="346"/>
      <c r="AP31" s="346"/>
      <c r="AQ31" s="346"/>
      <c r="AR31" s="1300"/>
      <c r="AS31" s="1196"/>
      <c r="AT31" s="340"/>
      <c r="AU31" s="340"/>
      <c r="AV31" s="340"/>
      <c r="AW31" s="340"/>
      <c r="AX31" s="340"/>
      <c r="AY31" s="340"/>
      <c r="AZ31" s="340"/>
      <c r="BA31" s="340"/>
      <c r="BB31" s="340"/>
      <c r="BC31" s="340"/>
      <c r="BD31" s="340"/>
      <c r="BE31" s="340"/>
      <c r="BF31" s="340"/>
      <c r="BG31" s="340"/>
      <c r="BH31" s="340"/>
      <c r="BI31" s="340"/>
      <c r="BJ31" s="340"/>
      <c r="BK31" s="340"/>
      <c r="BL31" s="1166"/>
    </row>
    <row r="32" spans="1:64">
      <c r="A32" s="1228"/>
      <c r="B32" s="308"/>
      <c r="C32" s="1229"/>
      <c r="D32" s="1236"/>
      <c r="E32" s="318"/>
      <c r="F32" s="318"/>
      <c r="G32" s="318"/>
      <c r="H32" s="318"/>
      <c r="I32" s="1237"/>
      <c r="J32" s="1185"/>
      <c r="K32" s="1300"/>
      <c r="L32" s="1302"/>
      <c r="M32" s="1243"/>
      <c r="N32" s="325"/>
      <c r="O32" s="325"/>
      <c r="P32" s="325"/>
      <c r="Q32" s="325"/>
      <c r="R32" s="1300"/>
      <c r="S32" s="1236"/>
      <c r="T32" s="318"/>
      <c r="U32" s="318"/>
      <c r="V32" s="318"/>
      <c r="W32" s="318"/>
      <c r="X32" s="318"/>
      <c r="Y32" s="1237"/>
      <c r="Z32" s="1300"/>
      <c r="AA32" s="1236"/>
      <c r="AB32" s="318"/>
      <c r="AC32" s="318"/>
      <c r="AD32" s="318"/>
      <c r="AE32" s="318"/>
      <c r="AF32" s="318"/>
      <c r="AG32" s="318"/>
      <c r="AH32" s="1300"/>
      <c r="AI32" s="1246"/>
      <c r="AJ32" s="346"/>
      <c r="AK32" s="346"/>
      <c r="AL32" s="346"/>
      <c r="AM32" s="346"/>
      <c r="AN32" s="346"/>
      <c r="AO32" s="346"/>
      <c r="AP32" s="346"/>
      <c r="AQ32" s="346"/>
      <c r="AR32" s="1300"/>
      <c r="AS32" s="1167"/>
      <c r="AT32" s="340"/>
      <c r="AU32" s="340"/>
      <c r="AV32" s="340"/>
      <c r="AW32" s="340"/>
      <c r="AX32" s="340"/>
      <c r="AY32" s="340"/>
      <c r="AZ32" s="340"/>
      <c r="BA32" s="340"/>
      <c r="BB32" s="340"/>
      <c r="BC32" s="340"/>
      <c r="BD32" s="340"/>
      <c r="BE32" s="340"/>
      <c r="BF32" s="340"/>
      <c r="BG32" s="340"/>
      <c r="BH32" s="340"/>
      <c r="BI32" s="340"/>
      <c r="BJ32" s="340"/>
      <c r="BK32" s="340"/>
      <c r="BL32" s="1166"/>
    </row>
    <row r="33" spans="1:64">
      <c r="A33" s="1228"/>
      <c r="B33" s="308"/>
      <c r="C33" s="1229"/>
      <c r="D33" s="1236"/>
      <c r="E33" s="318"/>
      <c r="F33" s="318"/>
      <c r="G33" s="318"/>
      <c r="H33" s="318"/>
      <c r="I33" s="1237"/>
      <c r="J33" s="1185"/>
      <c r="K33" s="1300"/>
      <c r="L33" s="1302"/>
      <c r="M33" s="1243"/>
      <c r="N33" s="325"/>
      <c r="O33" s="325"/>
      <c r="P33" s="325"/>
      <c r="Q33" s="325"/>
      <c r="R33" s="1300"/>
      <c r="S33" s="1236"/>
      <c r="T33" s="318"/>
      <c r="U33" s="318"/>
      <c r="V33" s="318"/>
      <c r="W33" s="318"/>
      <c r="X33" s="318"/>
      <c r="Y33" s="1237"/>
      <c r="Z33" s="1300"/>
      <c r="AA33" s="1236"/>
      <c r="AB33" s="318"/>
      <c r="AC33" s="318"/>
      <c r="AD33" s="318"/>
      <c r="AE33" s="318"/>
      <c r="AF33" s="318"/>
      <c r="AG33" s="318"/>
      <c r="AH33" s="1300"/>
      <c r="AI33" s="1246"/>
      <c r="AJ33" s="346"/>
      <c r="AK33" s="346"/>
      <c r="AL33" s="346"/>
      <c r="AM33" s="346"/>
      <c r="AN33" s="346"/>
      <c r="AO33" s="346"/>
      <c r="AP33" s="346"/>
      <c r="AQ33" s="346"/>
      <c r="AR33" s="1300"/>
      <c r="AS33" s="1167"/>
      <c r="AT33" s="340"/>
      <c r="AU33" s="340"/>
      <c r="AV33" s="340"/>
      <c r="AW33" s="340"/>
      <c r="AX33" s="340"/>
      <c r="AY33" s="340"/>
      <c r="AZ33" s="340"/>
      <c r="BA33" s="340"/>
      <c r="BB33" s="340"/>
      <c r="BC33" s="340"/>
      <c r="BD33" s="340"/>
      <c r="BE33" s="340"/>
      <c r="BF33" s="340"/>
      <c r="BG33" s="340"/>
      <c r="BH33" s="340"/>
      <c r="BI33" s="340"/>
      <c r="BJ33" s="340"/>
      <c r="BK33" s="340"/>
      <c r="BL33" s="1166"/>
    </row>
    <row r="34" spans="1:64">
      <c r="A34" s="1228"/>
      <c r="B34" s="308"/>
      <c r="C34" s="1229"/>
      <c r="D34" s="1236"/>
      <c r="E34" s="318"/>
      <c r="F34" s="318"/>
      <c r="G34" s="318"/>
      <c r="H34" s="318"/>
      <c r="I34" s="1237"/>
      <c r="J34" s="1185"/>
      <c r="K34" s="1300"/>
      <c r="L34" s="1302"/>
      <c r="M34" s="1243"/>
      <c r="N34" s="325"/>
      <c r="O34" s="325"/>
      <c r="P34" s="325"/>
      <c r="Q34" s="325"/>
      <c r="R34" s="1300"/>
      <c r="S34" s="1236"/>
      <c r="T34" s="318"/>
      <c r="U34" s="318"/>
      <c r="V34" s="318"/>
      <c r="W34" s="318"/>
      <c r="X34" s="318"/>
      <c r="Y34" s="1237"/>
      <c r="Z34" s="1300"/>
      <c r="AA34" s="1236"/>
      <c r="AB34" s="318"/>
      <c r="AC34" s="318"/>
      <c r="AD34" s="318"/>
      <c r="AE34" s="318"/>
      <c r="AF34" s="318"/>
      <c r="AG34" s="318"/>
      <c r="AH34" s="1300"/>
      <c r="AI34" s="1246"/>
      <c r="AJ34" s="346"/>
      <c r="AK34" s="346"/>
      <c r="AL34" s="346"/>
      <c r="AM34" s="346"/>
      <c r="AN34" s="346"/>
      <c r="AO34" s="346"/>
      <c r="AP34" s="346"/>
      <c r="AQ34" s="346"/>
      <c r="AR34" s="1300"/>
      <c r="AS34" s="1167"/>
      <c r="AT34" s="340"/>
      <c r="AU34" s="340"/>
      <c r="AV34" s="340"/>
      <c r="AW34" s="340"/>
      <c r="AX34" s="340"/>
      <c r="AY34" s="340"/>
      <c r="AZ34" s="340"/>
      <c r="BA34" s="340"/>
      <c r="BB34" s="340"/>
      <c r="BC34" s="340"/>
      <c r="BD34" s="340"/>
      <c r="BE34" s="340"/>
      <c r="BF34" s="340"/>
      <c r="BG34" s="340"/>
      <c r="BH34" s="340"/>
      <c r="BI34" s="340"/>
      <c r="BJ34" s="340"/>
      <c r="BK34" s="340"/>
      <c r="BL34" s="1166"/>
    </row>
    <row r="35" spans="1:64">
      <c r="A35" s="1228"/>
      <c r="B35" s="308"/>
      <c r="C35" s="1229"/>
      <c r="D35" s="1236"/>
      <c r="E35" s="318"/>
      <c r="F35" s="318"/>
      <c r="G35" s="318"/>
      <c r="H35" s="318"/>
      <c r="I35" s="1237"/>
      <c r="J35" s="1185"/>
      <c r="K35" s="1300"/>
      <c r="L35" s="1302"/>
      <c r="M35" s="1243"/>
      <c r="N35" s="325"/>
      <c r="O35" s="325"/>
      <c r="P35" s="325"/>
      <c r="Q35" s="325"/>
      <c r="R35" s="1300"/>
      <c r="S35" s="1236"/>
      <c r="T35" s="318"/>
      <c r="U35" s="318"/>
      <c r="V35" s="318"/>
      <c r="W35" s="318"/>
      <c r="X35" s="318"/>
      <c r="Y35" s="1237"/>
      <c r="Z35" s="1300"/>
      <c r="AA35" s="1236"/>
      <c r="AB35" s="318"/>
      <c r="AC35" s="318"/>
      <c r="AD35" s="318"/>
      <c r="AE35" s="318"/>
      <c r="AF35" s="318"/>
      <c r="AG35" s="318"/>
      <c r="AH35" s="1300"/>
      <c r="AI35" s="1246"/>
      <c r="AJ35" s="346"/>
      <c r="AK35" s="346"/>
      <c r="AL35" s="346"/>
      <c r="AM35" s="346"/>
      <c r="AN35" s="346"/>
      <c r="AO35" s="346"/>
      <c r="AP35" s="346"/>
      <c r="AQ35" s="346"/>
      <c r="AR35" s="1300"/>
      <c r="AS35" s="1167"/>
      <c r="AT35" s="340"/>
      <c r="AU35" s="340"/>
      <c r="AV35" s="340"/>
      <c r="AW35" s="340"/>
      <c r="AX35" s="340"/>
      <c r="AY35" s="340"/>
      <c r="AZ35" s="340"/>
      <c r="BA35" s="340"/>
      <c r="BB35" s="340"/>
      <c r="BC35" s="340"/>
      <c r="BD35" s="340"/>
      <c r="BE35" s="340"/>
      <c r="BF35" s="340"/>
      <c r="BG35" s="340"/>
      <c r="BH35" s="340"/>
      <c r="BI35" s="340"/>
      <c r="BJ35" s="340"/>
      <c r="BK35" s="340"/>
      <c r="BL35" s="1166"/>
    </row>
    <row r="36" spans="1:64">
      <c r="A36" s="1230"/>
      <c r="B36" s="1231"/>
      <c r="C36" s="1232"/>
      <c r="D36" s="1238"/>
      <c r="E36" s="1239"/>
      <c r="F36" s="1239"/>
      <c r="G36" s="1239"/>
      <c r="H36" s="1239"/>
      <c r="I36" s="1240"/>
      <c r="J36" s="1185"/>
      <c r="K36" s="1300"/>
      <c r="L36" s="1302"/>
      <c r="M36" s="1243"/>
      <c r="N36" s="325"/>
      <c r="O36" s="325"/>
      <c r="P36" s="325"/>
      <c r="Q36" s="325"/>
      <c r="R36" s="1300"/>
      <c r="S36" s="1236"/>
      <c r="T36" s="318"/>
      <c r="U36" s="318"/>
      <c r="V36" s="318"/>
      <c r="W36" s="318"/>
      <c r="X36" s="318"/>
      <c r="Y36" s="1237"/>
      <c r="Z36" s="1300"/>
      <c r="AA36" s="1236"/>
      <c r="AB36" s="318"/>
      <c r="AC36" s="318"/>
      <c r="AD36" s="318"/>
      <c r="AE36" s="318"/>
      <c r="AF36" s="318"/>
      <c r="AG36" s="318"/>
      <c r="AH36" s="1300"/>
      <c r="AI36" s="1247"/>
      <c r="AJ36" s="1248"/>
      <c r="AK36" s="1248"/>
      <c r="AL36" s="1248"/>
      <c r="AM36" s="1248"/>
      <c r="AN36" s="1248"/>
      <c r="AO36" s="1248"/>
      <c r="AP36" s="1248"/>
      <c r="AQ36" s="1248"/>
      <c r="AR36" s="1300"/>
      <c r="AS36" s="1167"/>
      <c r="AT36" s="340"/>
      <c r="AU36" s="340"/>
      <c r="AV36" s="340"/>
      <c r="AW36" s="340"/>
      <c r="AX36" s="340"/>
      <c r="AY36" s="340"/>
      <c r="AZ36" s="340"/>
      <c r="BA36" s="340"/>
      <c r="BB36" s="340"/>
      <c r="BC36" s="340"/>
      <c r="BD36" s="340"/>
      <c r="BE36" s="340"/>
      <c r="BF36" s="340"/>
      <c r="BG36" s="340"/>
      <c r="BH36" s="340"/>
      <c r="BI36" s="340"/>
      <c r="BJ36" s="340"/>
      <c r="BK36" s="340"/>
      <c r="BL36" s="1166"/>
    </row>
    <row r="37" spans="1:64">
      <c r="A37" s="1220"/>
      <c r="B37" s="1221"/>
      <c r="C37" s="1222"/>
      <c r="D37" s="1220"/>
      <c r="E37" s="1221"/>
      <c r="F37" s="1221"/>
      <c r="G37" s="1221"/>
      <c r="H37" s="1221"/>
      <c r="I37" s="1222"/>
      <c r="J37" s="1185"/>
      <c r="K37" s="1300"/>
      <c r="L37" s="1302"/>
      <c r="M37" s="1243"/>
      <c r="N37" s="325"/>
      <c r="O37" s="325"/>
      <c r="P37" s="325"/>
      <c r="Q37" s="325"/>
      <c r="R37" s="1300"/>
      <c r="S37" s="1236"/>
      <c r="T37" s="318"/>
      <c r="U37" s="318"/>
      <c r="V37" s="318"/>
      <c r="W37" s="318"/>
      <c r="X37" s="318"/>
      <c r="Y37" s="1237"/>
      <c r="Z37" s="1300"/>
      <c r="AA37" s="1236"/>
      <c r="AB37" s="318"/>
      <c r="AC37" s="318"/>
      <c r="AD37" s="318"/>
      <c r="AE37" s="318"/>
      <c r="AF37" s="318"/>
      <c r="AG37" s="318"/>
      <c r="AH37" s="1300"/>
      <c r="AI37" s="1223"/>
      <c r="AJ37" s="1224"/>
      <c r="AK37" s="1224"/>
      <c r="AL37" s="1224"/>
      <c r="AM37" s="1224"/>
      <c r="AN37" s="1224"/>
      <c r="AO37" s="1224"/>
      <c r="AP37" s="1224"/>
      <c r="AQ37" s="1224"/>
      <c r="AR37" s="1300"/>
      <c r="AS37" s="1167"/>
      <c r="AT37" s="340"/>
      <c r="AU37" s="340"/>
      <c r="AV37" s="340"/>
      <c r="AW37" s="340"/>
      <c r="AX37" s="340"/>
      <c r="AY37" s="340"/>
      <c r="AZ37" s="340"/>
      <c r="BA37" s="340"/>
      <c r="BB37" s="340"/>
      <c r="BC37" s="340"/>
      <c r="BD37" s="340"/>
      <c r="BE37" s="340"/>
      <c r="BF37" s="340"/>
      <c r="BG37" s="340"/>
      <c r="BH37" s="340"/>
      <c r="BI37" s="340"/>
      <c r="BJ37" s="340"/>
      <c r="BK37" s="340"/>
      <c r="BL37" s="1166"/>
    </row>
    <row r="38" spans="1:64" ht="15.75">
      <c r="A38" s="1255">
        <f>AI29</f>
        <v>6686400</v>
      </c>
      <c r="B38" s="1256"/>
      <c r="C38" s="1256"/>
      <c r="D38" s="1256"/>
      <c r="E38" s="1256"/>
      <c r="F38" s="1256"/>
      <c r="G38" s="1256"/>
      <c r="H38" s="1256"/>
      <c r="I38" s="1256"/>
      <c r="J38" s="1256"/>
      <c r="K38" s="1256"/>
      <c r="L38" s="1256"/>
      <c r="M38" s="1257"/>
      <c r="N38" s="85"/>
      <c r="O38" s="86"/>
      <c r="P38" s="86"/>
      <c r="Q38" s="86"/>
      <c r="R38" s="86"/>
      <c r="S38" s="1249"/>
      <c r="T38" s="1249"/>
      <c r="U38" s="1249"/>
      <c r="V38" s="1249"/>
      <c r="W38" s="1249"/>
      <c r="X38" s="1249"/>
      <c r="Y38" s="1249"/>
      <c r="Z38" s="86"/>
      <c r="AA38" s="87"/>
      <c r="AB38" s="61" t="s">
        <v>59</v>
      </c>
      <c r="AC38" s="62"/>
      <c r="AD38" s="62"/>
      <c r="AE38" s="62"/>
      <c r="AF38" s="62"/>
      <c r="AG38" s="62"/>
      <c r="AH38" s="62"/>
      <c r="AI38" s="1261"/>
      <c r="AJ38" s="1261"/>
      <c r="AK38" s="1261"/>
      <c r="AL38" s="1261"/>
      <c r="AM38" s="1261"/>
      <c r="AN38" s="1261"/>
      <c r="AO38" s="1261"/>
      <c r="AP38" s="1261"/>
      <c r="AQ38" s="1261"/>
      <c r="AR38" s="62"/>
      <c r="AS38" s="62"/>
      <c r="AT38" s="62"/>
      <c r="AU38" s="62"/>
      <c r="AV38" s="62"/>
      <c r="AW38" s="62"/>
      <c r="AX38" s="62"/>
      <c r="AY38" s="62"/>
      <c r="AZ38" s="62"/>
      <c r="BA38" s="62"/>
      <c r="BB38" s="62"/>
      <c r="BC38" s="62"/>
      <c r="BD38" s="62"/>
      <c r="BE38" s="62"/>
      <c r="BF38" s="62"/>
      <c r="BG38" s="62"/>
      <c r="BH38" s="62"/>
      <c r="BI38" s="62"/>
      <c r="BJ38" s="62"/>
      <c r="BK38" s="62"/>
      <c r="BL38" s="88"/>
    </row>
    <row r="39" spans="1:64" ht="7.5" customHeight="1">
      <c r="A39" s="1258"/>
      <c r="B39" s="1259"/>
      <c r="C39" s="1259"/>
      <c r="D39" s="1259"/>
      <c r="E39" s="1259"/>
      <c r="F39" s="1259"/>
      <c r="G39" s="1259"/>
      <c r="H39" s="1259"/>
      <c r="I39" s="1259"/>
      <c r="J39" s="1259"/>
      <c r="K39" s="1259"/>
      <c r="L39" s="1259"/>
      <c r="M39" s="1260"/>
      <c r="N39" s="89"/>
      <c r="O39" s="90"/>
      <c r="P39" s="90"/>
      <c r="Q39" s="90"/>
      <c r="R39" s="90"/>
      <c r="S39" s="90"/>
      <c r="T39" s="90"/>
      <c r="U39" s="90"/>
      <c r="V39" s="90"/>
      <c r="W39" s="90"/>
      <c r="X39" s="90"/>
      <c r="Y39" s="90"/>
      <c r="Z39" s="90"/>
      <c r="AA39" s="91"/>
      <c r="AB39" s="92"/>
      <c r="AC39" s="93"/>
      <c r="AD39" s="93"/>
      <c r="AE39" s="93"/>
      <c r="AF39" s="93"/>
      <c r="AG39" s="93"/>
      <c r="AH39" s="93"/>
      <c r="AI39" s="1186"/>
      <c r="AJ39" s="1186"/>
      <c r="AK39" s="1186"/>
      <c r="AL39" s="1186"/>
      <c r="AM39" s="1186"/>
      <c r="AN39" s="1186"/>
      <c r="AO39" s="1186"/>
      <c r="AP39" s="1186"/>
      <c r="AQ39" s="1186"/>
      <c r="AR39" s="93"/>
      <c r="AS39" s="93"/>
      <c r="AT39" s="93"/>
      <c r="AU39" s="93"/>
      <c r="AV39" s="93"/>
      <c r="AW39" s="93"/>
      <c r="AX39" s="93"/>
      <c r="AY39" s="93"/>
      <c r="AZ39" s="93"/>
      <c r="BA39" s="93"/>
      <c r="BB39" s="93"/>
      <c r="BC39" s="93"/>
      <c r="BD39" s="93"/>
      <c r="BE39" s="93"/>
      <c r="BF39" s="93"/>
      <c r="BG39" s="93"/>
      <c r="BH39" s="93"/>
      <c r="BI39" s="93"/>
      <c r="BJ39" s="93"/>
      <c r="BK39" s="93"/>
      <c r="BL39" s="94"/>
    </row>
    <row r="40" spans="1:64" ht="15.75">
      <c r="A40" s="85"/>
      <c r="B40" s="86"/>
      <c r="C40" s="86"/>
      <c r="D40" s="86"/>
      <c r="E40" s="86"/>
      <c r="F40" s="86"/>
      <c r="G40" s="86"/>
      <c r="H40" s="86"/>
      <c r="I40" s="86"/>
      <c r="J40" s="86"/>
      <c r="K40" s="86"/>
      <c r="L40" s="86"/>
      <c r="M40" s="87"/>
      <c r="N40" s="85"/>
      <c r="O40" s="86"/>
      <c r="P40" s="86"/>
      <c r="Q40" s="86"/>
      <c r="R40" s="86"/>
      <c r="S40" s="86"/>
      <c r="T40" s="86"/>
      <c r="U40" s="86"/>
      <c r="V40" s="86"/>
      <c r="W40" s="86"/>
      <c r="X40" s="86"/>
      <c r="Y40" s="86"/>
      <c r="Z40" s="86"/>
      <c r="AA40" s="87"/>
      <c r="AB40" s="1262"/>
      <c r="AC40" s="1263"/>
      <c r="AD40" s="1263"/>
      <c r="AE40" s="1263"/>
      <c r="AF40" s="1263"/>
      <c r="AG40" s="1263"/>
      <c r="AH40" s="1263"/>
      <c r="AI40" s="1263"/>
      <c r="AJ40" s="1263"/>
      <c r="AK40" s="1263"/>
      <c r="AL40" s="1263"/>
      <c r="AM40" s="1263"/>
      <c r="AN40" s="1263"/>
      <c r="AO40" s="1263"/>
      <c r="AP40" s="1263"/>
      <c r="AQ40" s="1263"/>
      <c r="AR40" s="1263"/>
      <c r="AS40" s="1263"/>
      <c r="AT40" s="1263"/>
      <c r="AU40" s="1263"/>
      <c r="AV40" s="1263"/>
      <c r="AW40" s="1263"/>
      <c r="AX40" s="1263"/>
      <c r="AY40" s="1263"/>
      <c r="AZ40" s="1263"/>
      <c r="BA40" s="1263"/>
      <c r="BB40" s="1263"/>
      <c r="BC40" s="1263"/>
      <c r="BD40" s="1263"/>
      <c r="BE40" s="1263"/>
      <c r="BF40" s="1263"/>
      <c r="BG40" s="1263"/>
      <c r="BH40" s="1263"/>
      <c r="BI40" s="1263"/>
      <c r="BJ40" s="1263"/>
      <c r="BK40" s="1263"/>
      <c r="BL40" s="1264"/>
    </row>
    <row r="41" spans="1:64" ht="7.5" customHeight="1">
      <c r="A41" s="89"/>
      <c r="B41" s="90"/>
      <c r="C41" s="90"/>
      <c r="D41" s="90"/>
      <c r="E41" s="90"/>
      <c r="F41" s="90"/>
      <c r="G41" s="90"/>
      <c r="H41" s="90"/>
      <c r="I41" s="90"/>
      <c r="J41" s="90"/>
      <c r="K41" s="90"/>
      <c r="L41" s="90"/>
      <c r="M41" s="91"/>
      <c r="N41" s="89"/>
      <c r="O41" s="90"/>
      <c r="P41" s="90"/>
      <c r="Q41" s="90"/>
      <c r="R41" s="90"/>
      <c r="S41" s="90"/>
      <c r="T41" s="90"/>
      <c r="U41" s="90"/>
      <c r="V41" s="90"/>
      <c r="W41" s="90"/>
      <c r="X41" s="90"/>
      <c r="Y41" s="90"/>
      <c r="Z41" s="90"/>
      <c r="AA41" s="91"/>
      <c r="AB41" s="1265"/>
      <c r="AC41" s="1266"/>
      <c r="AD41" s="1266"/>
      <c r="AE41" s="1266"/>
      <c r="AF41" s="1266"/>
      <c r="AG41" s="1266"/>
      <c r="AH41" s="1266"/>
      <c r="AI41" s="1266"/>
      <c r="AJ41" s="1266"/>
      <c r="AK41" s="1266"/>
      <c r="AL41" s="1266"/>
      <c r="AM41" s="1266"/>
      <c r="AN41" s="1266"/>
      <c r="AO41" s="1266"/>
      <c r="AP41" s="1266"/>
      <c r="AQ41" s="1266"/>
      <c r="AR41" s="1266"/>
      <c r="AS41" s="1266"/>
      <c r="AT41" s="1266"/>
      <c r="AU41" s="1266"/>
      <c r="AV41" s="1266"/>
      <c r="AW41" s="1266"/>
      <c r="AX41" s="1266"/>
      <c r="AY41" s="1266"/>
      <c r="AZ41" s="1266"/>
      <c r="BA41" s="1266"/>
      <c r="BB41" s="1266"/>
      <c r="BC41" s="1266"/>
      <c r="BD41" s="1266"/>
      <c r="BE41" s="1266"/>
      <c r="BF41" s="1266"/>
      <c r="BG41" s="1266"/>
      <c r="BH41" s="1266"/>
      <c r="BI41" s="1266"/>
      <c r="BJ41" s="1266"/>
      <c r="BK41" s="1266"/>
      <c r="BL41" s="1267"/>
    </row>
    <row r="42" spans="1:64" ht="15.75">
      <c r="A42" s="85"/>
      <c r="B42" s="86"/>
      <c r="C42" s="86"/>
      <c r="D42" s="86"/>
      <c r="E42" s="95"/>
      <c r="F42" s="95"/>
      <c r="G42" s="95"/>
      <c r="H42" s="95"/>
      <c r="I42" s="95"/>
      <c r="J42" s="95"/>
      <c r="K42" s="95"/>
      <c r="L42" s="95"/>
      <c r="M42" s="96"/>
      <c r="N42" s="97"/>
      <c r="O42" s="95"/>
      <c r="P42" s="95"/>
      <c r="Q42" s="95"/>
      <c r="R42" s="95"/>
      <c r="S42" s="95"/>
      <c r="T42" s="95"/>
      <c r="U42" s="95"/>
      <c r="V42" s="95"/>
      <c r="W42" s="95"/>
      <c r="X42" s="86"/>
      <c r="Y42" s="86"/>
      <c r="Z42" s="86"/>
      <c r="AA42" s="87"/>
      <c r="AB42" s="1262"/>
      <c r="AC42" s="1263"/>
      <c r="AD42" s="1263"/>
      <c r="AE42" s="1263"/>
      <c r="AF42" s="1263"/>
      <c r="AG42" s="1263"/>
      <c r="AH42" s="1263"/>
      <c r="AI42" s="1263"/>
      <c r="AJ42" s="1263"/>
      <c r="AK42" s="1263"/>
      <c r="AL42" s="1263"/>
      <c r="AM42" s="1263"/>
      <c r="AN42" s="1263"/>
      <c r="AO42" s="1263"/>
      <c r="AP42" s="1263"/>
      <c r="AQ42" s="1263"/>
      <c r="AR42" s="1263"/>
      <c r="AS42" s="1263"/>
      <c r="AT42" s="1263"/>
      <c r="AU42" s="1263"/>
      <c r="AV42" s="1263"/>
      <c r="AW42" s="1263"/>
      <c r="AX42" s="1263"/>
      <c r="AY42" s="1263"/>
      <c r="AZ42" s="1263"/>
      <c r="BA42" s="1263"/>
      <c r="BB42" s="1263"/>
      <c r="BC42" s="1263"/>
      <c r="BD42" s="1263"/>
      <c r="BE42" s="1263"/>
      <c r="BF42" s="1263"/>
      <c r="BG42" s="1263"/>
      <c r="BH42" s="1263"/>
      <c r="BI42" s="1263"/>
      <c r="BJ42" s="1263"/>
      <c r="BK42" s="1263"/>
      <c r="BL42" s="1264"/>
    </row>
    <row r="43" spans="1:64" ht="7.5" customHeight="1">
      <c r="A43" s="89"/>
      <c r="B43" s="90"/>
      <c r="C43" s="90"/>
      <c r="D43" s="90"/>
      <c r="E43" s="90"/>
      <c r="F43" s="90"/>
      <c r="G43" s="90"/>
      <c r="H43" s="90"/>
      <c r="I43" s="90"/>
      <c r="J43" s="90"/>
      <c r="K43" s="90"/>
      <c r="L43" s="90"/>
      <c r="M43" s="91"/>
      <c r="N43" s="89"/>
      <c r="O43" s="90"/>
      <c r="P43" s="90"/>
      <c r="Q43" s="90"/>
      <c r="R43" s="90"/>
      <c r="S43" s="90"/>
      <c r="T43" s="90"/>
      <c r="U43" s="90"/>
      <c r="V43" s="90"/>
      <c r="W43" s="90"/>
      <c r="X43" s="90"/>
      <c r="Y43" s="90"/>
      <c r="Z43" s="90"/>
      <c r="AA43" s="91"/>
      <c r="AB43" s="1265"/>
      <c r="AC43" s="1266"/>
      <c r="AD43" s="1266"/>
      <c r="AE43" s="1266"/>
      <c r="AF43" s="1266"/>
      <c r="AG43" s="1266"/>
      <c r="AH43" s="1266"/>
      <c r="AI43" s="1266"/>
      <c r="AJ43" s="1266"/>
      <c r="AK43" s="1266"/>
      <c r="AL43" s="1266"/>
      <c r="AM43" s="1266"/>
      <c r="AN43" s="1266"/>
      <c r="AO43" s="1266"/>
      <c r="AP43" s="1266"/>
      <c r="AQ43" s="1266"/>
      <c r="AR43" s="1266"/>
      <c r="AS43" s="1266"/>
      <c r="AT43" s="1266"/>
      <c r="AU43" s="1266"/>
      <c r="AV43" s="1266"/>
      <c r="AW43" s="1266"/>
      <c r="AX43" s="1266"/>
      <c r="AY43" s="1266"/>
      <c r="AZ43" s="1266"/>
      <c r="BA43" s="1266"/>
      <c r="BB43" s="1266"/>
      <c r="BC43" s="1266"/>
      <c r="BD43" s="1266"/>
      <c r="BE43" s="1266"/>
      <c r="BF43" s="1266"/>
      <c r="BG43" s="1266"/>
      <c r="BH43" s="1266"/>
      <c r="BI43" s="1266"/>
      <c r="BJ43" s="1266"/>
      <c r="BK43" s="1266"/>
      <c r="BL43" s="1267"/>
    </row>
    <row r="44" spans="1:64" ht="15" customHeight="1">
      <c r="A44" s="85"/>
      <c r="B44" s="86"/>
      <c r="C44" s="86"/>
      <c r="D44" s="86"/>
      <c r="E44" s="86"/>
      <c r="F44" s="86"/>
      <c r="G44" s="86"/>
      <c r="H44" s="86"/>
      <c r="I44" s="86"/>
      <c r="J44" s="86"/>
      <c r="K44" s="86"/>
      <c r="L44" s="86"/>
      <c r="M44" s="87"/>
      <c r="N44" s="38"/>
      <c r="O44" s="38"/>
      <c r="P44" s="38"/>
      <c r="Q44" s="38"/>
      <c r="R44" s="38"/>
      <c r="S44" s="38"/>
      <c r="T44" s="38"/>
      <c r="U44" s="38"/>
      <c r="V44" s="38"/>
      <c r="W44" s="38"/>
      <c r="X44" s="38"/>
      <c r="Y44" s="38"/>
      <c r="Z44" s="38"/>
      <c r="AA44" s="38"/>
      <c r="AB44" s="1268" t="s">
        <v>60</v>
      </c>
      <c r="AC44" s="1269"/>
      <c r="AD44" s="1269"/>
      <c r="AE44" s="1269"/>
      <c r="AF44" s="1269"/>
      <c r="AG44" s="1269"/>
      <c r="AH44" s="1269"/>
      <c r="AI44" s="1269"/>
      <c r="AJ44" s="1269"/>
      <c r="AK44" s="1269"/>
      <c r="AL44" s="1269"/>
      <c r="AM44" s="1269"/>
      <c r="AN44" s="1269"/>
      <c r="AO44" s="1269"/>
      <c r="AP44" s="1269"/>
      <c r="AQ44" s="1269"/>
      <c r="AR44" s="1269"/>
      <c r="AS44" s="1269"/>
      <c r="AT44" s="1269"/>
      <c r="AU44" s="1269"/>
      <c r="AV44" s="1269"/>
      <c r="AW44" s="1269"/>
      <c r="AX44" s="1269"/>
      <c r="AY44" s="1269"/>
      <c r="AZ44" s="1269"/>
      <c r="BA44" s="1269"/>
      <c r="BB44" s="1269"/>
      <c r="BC44" s="1269"/>
      <c r="BD44" s="1269"/>
      <c r="BE44" s="1269"/>
      <c r="BF44" s="1269"/>
      <c r="BG44" s="1269"/>
      <c r="BH44" s="1269"/>
      <c r="BI44" s="1269"/>
      <c r="BJ44" s="1269"/>
      <c r="BK44" s="1269"/>
      <c r="BL44" s="1270"/>
    </row>
    <row r="45" spans="1:64" ht="7.5" customHeight="1">
      <c r="A45" s="89"/>
      <c r="B45" s="90"/>
      <c r="C45" s="90"/>
      <c r="D45" s="90"/>
      <c r="E45" s="90"/>
      <c r="F45" s="90"/>
      <c r="G45" s="90"/>
      <c r="H45" s="90"/>
      <c r="I45" s="90"/>
      <c r="J45" s="90"/>
      <c r="K45" s="90"/>
      <c r="L45" s="90"/>
      <c r="M45" s="91"/>
      <c r="N45" s="38"/>
      <c r="O45" s="38"/>
      <c r="P45" s="38"/>
      <c r="Q45" s="38"/>
      <c r="R45" s="38"/>
      <c r="S45" s="38"/>
      <c r="T45" s="38"/>
      <c r="U45" s="38"/>
      <c r="V45" s="38"/>
      <c r="W45" s="38"/>
      <c r="X45" s="38"/>
      <c r="Y45" s="38"/>
      <c r="Z45" s="38"/>
      <c r="AA45" s="38"/>
      <c r="AB45" s="1271"/>
      <c r="AC45" s="1272"/>
      <c r="AD45" s="1272"/>
      <c r="AE45" s="1272"/>
      <c r="AF45" s="1272"/>
      <c r="AG45" s="1272"/>
      <c r="AH45" s="1272"/>
      <c r="AI45" s="1272"/>
      <c r="AJ45" s="1272"/>
      <c r="AK45" s="1272"/>
      <c r="AL45" s="1272"/>
      <c r="AM45" s="1272"/>
      <c r="AN45" s="1272"/>
      <c r="AO45" s="1272"/>
      <c r="AP45" s="1272"/>
      <c r="AQ45" s="1272"/>
      <c r="AR45" s="1272"/>
      <c r="AS45" s="1272"/>
      <c r="AT45" s="1272"/>
      <c r="AU45" s="1272"/>
      <c r="AV45" s="1272"/>
      <c r="AW45" s="1272"/>
      <c r="AX45" s="1272"/>
      <c r="AY45" s="1272"/>
      <c r="AZ45" s="1272"/>
      <c r="BA45" s="1272"/>
      <c r="BB45" s="1272"/>
      <c r="BC45" s="1272"/>
      <c r="BD45" s="1272"/>
      <c r="BE45" s="1272"/>
      <c r="BF45" s="1272"/>
      <c r="BG45" s="1272"/>
      <c r="BH45" s="1272"/>
      <c r="BI45" s="1272"/>
      <c r="BJ45" s="1272"/>
      <c r="BK45" s="1272"/>
      <c r="BL45" s="1273"/>
    </row>
    <row r="46" spans="1:64" ht="15.75">
      <c r="A46" s="1309">
        <f>'1'!A46</f>
        <v>1052092</v>
      </c>
      <c r="B46" s="1310"/>
      <c r="C46" s="1310"/>
      <c r="D46" s="1310"/>
      <c r="E46" s="1310"/>
      <c r="F46" s="1310"/>
      <c r="G46" s="1310"/>
      <c r="H46" s="1310"/>
      <c r="I46" s="1310"/>
      <c r="J46" s="1310"/>
      <c r="K46" s="1310"/>
      <c r="L46" s="1310"/>
      <c r="M46" s="1311"/>
      <c r="N46" s="85"/>
      <c r="O46" s="86"/>
      <c r="P46" s="86"/>
      <c r="Q46" s="86"/>
      <c r="R46" s="86"/>
      <c r="S46" s="86"/>
      <c r="T46" s="86"/>
      <c r="U46" s="86"/>
      <c r="V46" s="86"/>
      <c r="W46" s="86"/>
      <c r="X46" s="86"/>
      <c r="Y46" s="86"/>
      <c r="Z46" s="86"/>
      <c r="AA46" s="87"/>
      <c r="AB46" s="1274" t="str">
        <f>A3</f>
        <v>PT. NUR INFINIT INDOALEA GLOBAL</v>
      </c>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396"/>
      <c r="BF46" s="396"/>
      <c r="BG46" s="396"/>
      <c r="BH46" s="396"/>
      <c r="BI46" s="396"/>
      <c r="BJ46" s="396"/>
      <c r="BK46" s="396"/>
      <c r="BL46" s="1275"/>
    </row>
    <row r="47" spans="1:64" ht="7.5" customHeight="1">
      <c r="A47" s="1312"/>
      <c r="B47" s="1313"/>
      <c r="C47" s="1313"/>
      <c r="D47" s="1313"/>
      <c r="E47" s="1313"/>
      <c r="F47" s="1313"/>
      <c r="G47" s="1313"/>
      <c r="H47" s="1313"/>
      <c r="I47" s="1313"/>
      <c r="J47" s="1313"/>
      <c r="K47" s="1313"/>
      <c r="L47" s="1313"/>
      <c r="M47" s="1314"/>
      <c r="N47" s="89"/>
      <c r="O47" s="90"/>
      <c r="P47" s="90"/>
      <c r="Q47" s="90"/>
      <c r="R47" s="90"/>
      <c r="S47" s="90"/>
      <c r="T47" s="90"/>
      <c r="U47" s="90"/>
      <c r="V47" s="90"/>
      <c r="W47" s="90"/>
      <c r="X47" s="90"/>
      <c r="Y47" s="90"/>
      <c r="Z47" s="90"/>
      <c r="AA47" s="91"/>
      <c r="AB47" s="1276"/>
      <c r="AC47" s="1277"/>
      <c r="AD47" s="1277"/>
      <c r="AE47" s="1277"/>
      <c r="AF47" s="1277"/>
      <c r="AG47" s="1277"/>
      <c r="AH47" s="1277"/>
      <c r="AI47" s="1277"/>
      <c r="AJ47" s="1277"/>
      <c r="AK47" s="1277"/>
      <c r="AL47" s="1277"/>
      <c r="AM47" s="1277"/>
      <c r="AN47" s="1277"/>
      <c r="AO47" s="1277"/>
      <c r="AP47" s="1277"/>
      <c r="AQ47" s="1277"/>
      <c r="AR47" s="1277"/>
      <c r="AS47" s="1277"/>
      <c r="AT47" s="1277"/>
      <c r="AU47" s="1277"/>
      <c r="AV47" s="1277"/>
      <c r="AW47" s="1277"/>
      <c r="AX47" s="1277"/>
      <c r="AY47" s="1277"/>
      <c r="AZ47" s="1277"/>
      <c r="BA47" s="1277"/>
      <c r="BB47" s="1277"/>
      <c r="BC47" s="1277"/>
      <c r="BD47" s="1277"/>
      <c r="BE47" s="1277"/>
      <c r="BF47" s="1277"/>
      <c r="BG47" s="1277"/>
      <c r="BH47" s="1277"/>
      <c r="BI47" s="1277"/>
      <c r="BJ47" s="1277"/>
      <c r="BK47" s="1277"/>
      <c r="BL47" s="1278"/>
    </row>
    <row r="48" spans="1:64" ht="15.75">
      <c r="A48" s="98"/>
      <c r="B48" s="99"/>
      <c r="C48" s="99"/>
      <c r="D48" s="99"/>
      <c r="E48" s="100"/>
      <c r="F48" s="100"/>
      <c r="G48" s="100"/>
      <c r="H48" s="100"/>
      <c r="I48" s="100"/>
      <c r="J48" s="100"/>
      <c r="K48" s="100"/>
      <c r="L48" s="100"/>
      <c r="M48" s="101"/>
      <c r="N48" s="102"/>
      <c r="O48" s="100"/>
      <c r="P48" s="100"/>
      <c r="Q48" s="100"/>
      <c r="R48" s="100"/>
      <c r="S48" s="100"/>
      <c r="T48" s="100"/>
      <c r="U48" s="100"/>
      <c r="V48" s="100"/>
      <c r="W48" s="100"/>
      <c r="X48" s="99"/>
      <c r="Y48" s="99"/>
      <c r="Z48" s="99"/>
      <c r="AA48" s="103"/>
      <c r="AB48" s="1250" t="s">
        <v>61</v>
      </c>
      <c r="AC48" s="1251"/>
      <c r="AD48" s="1251"/>
      <c r="AE48" s="1251"/>
      <c r="AF48" s="1251"/>
      <c r="AG48" s="1251"/>
      <c r="AH48" s="1251"/>
      <c r="AI48" s="1251"/>
      <c r="AJ48" s="1251"/>
      <c r="AK48" s="1251"/>
      <c r="AL48" s="1251"/>
      <c r="AM48" s="1251"/>
      <c r="AN48" s="1251"/>
      <c r="AO48" s="1251"/>
      <c r="AP48" s="1251"/>
      <c r="AQ48" s="1251"/>
      <c r="AR48" s="1251"/>
      <c r="AS48" s="1251"/>
      <c r="AT48" s="1251"/>
      <c r="AU48" s="1251"/>
      <c r="AV48" s="1251"/>
      <c r="AW48" s="1251"/>
      <c r="AX48" s="1251"/>
      <c r="AY48" s="1251"/>
      <c r="AZ48" s="1251"/>
      <c r="BA48" s="1251"/>
      <c r="BB48" s="1251"/>
      <c r="BC48" s="1251"/>
      <c r="BD48" s="1251"/>
      <c r="BE48" s="1251"/>
      <c r="BF48" s="1251"/>
      <c r="BG48" s="1251"/>
      <c r="BH48" s="1251"/>
      <c r="BI48" s="1251"/>
      <c r="BJ48" s="1251"/>
      <c r="BK48" s="1251"/>
      <c r="BL48" s="1252"/>
    </row>
    <row r="49" spans="1:64" ht="7.5" customHeight="1">
      <c r="A49" s="104"/>
      <c r="B49" s="105"/>
      <c r="C49" s="105"/>
      <c r="D49" s="105"/>
      <c r="E49" s="105"/>
      <c r="F49" s="105"/>
      <c r="G49" s="105"/>
      <c r="H49" s="105"/>
      <c r="I49" s="105"/>
      <c r="J49" s="105"/>
      <c r="K49" s="105"/>
      <c r="L49" s="105"/>
      <c r="M49" s="106"/>
      <c r="N49" s="104"/>
      <c r="O49" s="105"/>
      <c r="P49" s="105"/>
      <c r="Q49" s="105"/>
      <c r="R49" s="105"/>
      <c r="S49" s="105"/>
      <c r="T49" s="105"/>
      <c r="U49" s="105"/>
      <c r="V49" s="105"/>
      <c r="W49" s="105"/>
      <c r="X49" s="105"/>
      <c r="Y49" s="105"/>
      <c r="Z49" s="105"/>
      <c r="AA49" s="106"/>
      <c r="AB49" s="85"/>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7"/>
    </row>
    <row r="50" spans="1:64" ht="15.75">
      <c r="A50" s="1255">
        <f>A38+A46</f>
        <v>7738492</v>
      </c>
      <c r="B50" s="1279"/>
      <c r="C50" s="1279"/>
      <c r="D50" s="1279"/>
      <c r="E50" s="1279"/>
      <c r="F50" s="1279"/>
      <c r="G50" s="1279"/>
      <c r="H50" s="1279"/>
      <c r="I50" s="1279"/>
      <c r="J50" s="1279"/>
      <c r="K50" s="1279"/>
      <c r="L50" s="1279"/>
      <c r="M50" s="1280"/>
      <c r="N50" s="85"/>
      <c r="O50" s="1249"/>
      <c r="P50" s="1249"/>
      <c r="Q50" s="1249"/>
      <c r="R50" s="1249"/>
      <c r="S50" s="1249"/>
      <c r="T50" s="1249"/>
      <c r="U50" s="1249"/>
      <c r="V50" s="1249"/>
      <c r="W50" s="1249"/>
      <c r="X50" s="1249"/>
      <c r="Y50" s="1249"/>
      <c r="Z50" s="1249"/>
      <c r="AA50" s="87"/>
      <c r="AB50" s="107"/>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108"/>
    </row>
    <row r="51" spans="1:64" ht="7.5" customHeight="1">
      <c r="A51" s="1281"/>
      <c r="B51" s="1282"/>
      <c r="C51" s="1282"/>
      <c r="D51" s="1282"/>
      <c r="E51" s="1282"/>
      <c r="F51" s="1282"/>
      <c r="G51" s="1282"/>
      <c r="H51" s="1282"/>
      <c r="I51" s="1282"/>
      <c r="J51" s="1282"/>
      <c r="K51" s="1282"/>
      <c r="L51" s="1282"/>
      <c r="M51" s="1283"/>
      <c r="N51" s="89"/>
      <c r="O51" s="90"/>
      <c r="P51" s="90"/>
      <c r="Q51" s="90"/>
      <c r="R51" s="90"/>
      <c r="S51" s="90"/>
      <c r="T51" s="90"/>
      <c r="U51" s="90"/>
      <c r="V51" s="90"/>
      <c r="W51" s="90"/>
      <c r="X51" s="90"/>
      <c r="Y51" s="90"/>
      <c r="Z51" s="90"/>
      <c r="AA51" s="91"/>
      <c r="AB51" s="107"/>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108"/>
    </row>
    <row r="52" spans="1:64" ht="15.75">
      <c r="A52" s="85"/>
      <c r="B52" s="1249"/>
      <c r="C52" s="1249"/>
      <c r="D52" s="1249"/>
      <c r="E52" s="1249"/>
      <c r="F52" s="1249"/>
      <c r="G52" s="1249"/>
      <c r="H52" s="1249"/>
      <c r="I52" s="1249"/>
      <c r="J52" s="1249"/>
      <c r="K52" s="1249"/>
      <c r="L52" s="1249"/>
      <c r="M52" s="87"/>
      <c r="N52" s="38"/>
      <c r="O52" s="377"/>
      <c r="P52" s="377"/>
      <c r="Q52" s="377"/>
      <c r="R52" s="377"/>
      <c r="S52" s="377"/>
      <c r="T52" s="377"/>
      <c r="U52" s="377"/>
      <c r="V52" s="377"/>
      <c r="W52" s="377"/>
      <c r="X52" s="377"/>
      <c r="Y52" s="377"/>
      <c r="Z52" s="377"/>
      <c r="AA52" s="38"/>
      <c r="AB52" s="109"/>
      <c r="AC52" s="1253">
        <f>'1'!AC52</f>
        <v>46171</v>
      </c>
      <c r="AD52" s="1254"/>
      <c r="AE52" s="1254"/>
      <c r="AF52" s="1254"/>
      <c r="AG52" s="1254"/>
      <c r="AH52" s="1254"/>
      <c r="AI52" s="1254"/>
      <c r="AJ52" s="1254"/>
      <c r="AK52" s="1254"/>
      <c r="AL52" s="110"/>
      <c r="AM52" s="110"/>
      <c r="AN52" s="110"/>
      <c r="AO52" s="1254" t="str">
        <f>'1'!AO52</f>
        <v>CGK</v>
      </c>
      <c r="AP52" s="1254"/>
      <c r="AQ52" s="1254"/>
      <c r="AR52" s="1254"/>
      <c r="AS52" s="110"/>
      <c r="AT52" s="110"/>
      <c r="AU52" s="110"/>
      <c r="AV52" s="110"/>
      <c r="AW52" s="110"/>
      <c r="AX52" s="110"/>
      <c r="AY52" s="110"/>
      <c r="AZ52" s="110"/>
      <c r="BA52" s="110"/>
      <c r="BB52" s="110"/>
      <c r="BC52" s="110"/>
      <c r="BD52" s="110"/>
      <c r="BE52" s="110"/>
      <c r="BF52" s="110"/>
      <c r="BG52" s="110"/>
      <c r="BH52" s="110"/>
      <c r="BI52" s="110"/>
      <c r="BJ52" s="110"/>
      <c r="BK52" s="110"/>
      <c r="BL52" s="111"/>
    </row>
    <row r="53" spans="1:64" ht="7.5" customHeight="1">
      <c r="A53" s="89"/>
      <c r="B53" s="90"/>
      <c r="C53" s="90"/>
      <c r="D53" s="90"/>
      <c r="E53" s="90"/>
      <c r="F53" s="90"/>
      <c r="G53" s="90"/>
      <c r="H53" s="90"/>
      <c r="I53" s="90"/>
      <c r="J53" s="90"/>
      <c r="K53" s="90"/>
      <c r="L53" s="90"/>
      <c r="M53" s="91"/>
      <c r="N53" s="38"/>
      <c r="O53" s="38"/>
      <c r="P53" s="38"/>
      <c r="Q53" s="38"/>
      <c r="R53" s="38"/>
      <c r="S53" s="38"/>
      <c r="T53" s="38"/>
      <c r="U53" s="38"/>
      <c r="V53" s="38"/>
      <c r="W53" s="38"/>
      <c r="X53" s="38"/>
      <c r="Y53" s="38"/>
      <c r="Z53" s="38"/>
      <c r="AA53" s="38"/>
      <c r="AB53" s="1250" t="s">
        <v>62</v>
      </c>
      <c r="AC53" s="1251"/>
      <c r="AD53" s="1251"/>
      <c r="AE53" s="1251"/>
      <c r="AF53" s="1251"/>
      <c r="AG53" s="1251"/>
      <c r="AH53" s="83"/>
      <c r="AI53" s="83"/>
      <c r="AJ53" s="1251" t="s">
        <v>63</v>
      </c>
      <c r="AK53" s="1251"/>
      <c r="AL53" s="1251"/>
      <c r="AM53" s="83"/>
      <c r="AN53" s="83"/>
      <c r="AO53" s="83"/>
      <c r="AP53" s="1251" t="s">
        <v>64</v>
      </c>
      <c r="AQ53" s="1251"/>
      <c r="AR53" s="83"/>
      <c r="AS53" s="83"/>
      <c r="AT53" s="83"/>
      <c r="AU53" s="1251" t="s">
        <v>65</v>
      </c>
      <c r="AV53" s="1251"/>
      <c r="AW53" s="1251"/>
      <c r="AX53" s="1251"/>
      <c r="AY53" s="1251"/>
      <c r="AZ53" s="83"/>
      <c r="BA53" s="1251" t="s">
        <v>66</v>
      </c>
      <c r="BB53" s="1251"/>
      <c r="BC53" s="1251"/>
      <c r="BD53" s="1251"/>
      <c r="BE53" s="1251"/>
      <c r="BF53" s="1251"/>
      <c r="BG53" s="1251"/>
      <c r="BH53" s="1251"/>
      <c r="BI53" s="1251"/>
      <c r="BJ53" s="1251"/>
      <c r="BK53" s="1251"/>
      <c r="BL53" s="1252"/>
    </row>
    <row r="54" spans="1:64" ht="15.75">
      <c r="A54" s="1152" t="s">
        <v>67</v>
      </c>
      <c r="B54" s="1146"/>
      <c r="C54" s="1146"/>
      <c r="D54" s="1146"/>
      <c r="E54" s="1146"/>
      <c r="F54" s="1146"/>
      <c r="G54" s="1146"/>
      <c r="H54" s="1146"/>
      <c r="I54" s="1146"/>
      <c r="J54" s="1146"/>
      <c r="K54" s="1146"/>
      <c r="L54" s="1146"/>
      <c r="M54" s="1147"/>
      <c r="N54" s="85"/>
      <c r="O54" s="1249"/>
      <c r="P54" s="1249"/>
      <c r="Q54" s="1249"/>
      <c r="R54" s="1249"/>
      <c r="S54" s="1249"/>
      <c r="T54" s="1249"/>
      <c r="U54" s="1249"/>
      <c r="V54" s="1249"/>
      <c r="W54" s="1249"/>
      <c r="X54" s="1249"/>
      <c r="Y54" s="1249"/>
      <c r="Z54" s="1249"/>
      <c r="AA54" s="87"/>
      <c r="AB54" s="85"/>
      <c r="AC54" s="1249"/>
      <c r="AD54" s="1249"/>
      <c r="AE54" s="1249"/>
      <c r="AF54" s="1249"/>
      <c r="AG54" s="1249"/>
      <c r="AH54" s="1249"/>
      <c r="AI54" s="1249"/>
      <c r="AJ54" s="1249"/>
      <c r="AK54" s="1249"/>
      <c r="AL54" s="1249"/>
      <c r="AM54" s="1249"/>
      <c r="AN54" s="87"/>
      <c r="AO54" s="1303" t="str">
        <f>AT1</f>
        <v>126-91929552</v>
      </c>
      <c r="AP54" s="1304"/>
      <c r="AQ54" s="1304"/>
      <c r="AR54" s="1304"/>
      <c r="AS54" s="1304"/>
      <c r="AT54" s="1304"/>
      <c r="AU54" s="1304"/>
      <c r="AV54" s="1304"/>
      <c r="AW54" s="1304"/>
      <c r="AX54" s="1304"/>
      <c r="AY54" s="1304"/>
      <c r="AZ54" s="1304"/>
      <c r="BA54" s="1304"/>
      <c r="BB54" s="1304"/>
      <c r="BC54" s="1304"/>
      <c r="BD54" s="1304"/>
      <c r="BE54" s="1304"/>
      <c r="BF54" s="1304"/>
      <c r="BG54" s="1304"/>
      <c r="BH54" s="1304"/>
      <c r="BI54" s="1304"/>
      <c r="BJ54" s="1304"/>
      <c r="BK54" s="1304"/>
      <c r="BL54" s="1305"/>
    </row>
    <row r="55" spans="1:64" ht="7.5" customHeight="1">
      <c r="A55" s="1250"/>
      <c r="B55" s="1251"/>
      <c r="C55" s="1251"/>
      <c r="D55" s="1251"/>
      <c r="E55" s="1251"/>
      <c r="F55" s="1251"/>
      <c r="G55" s="1251"/>
      <c r="H55" s="1251"/>
      <c r="I55" s="1251"/>
      <c r="J55" s="1251"/>
      <c r="K55" s="1251"/>
      <c r="L55" s="1251"/>
      <c r="M55" s="1252"/>
      <c r="N55" s="89"/>
      <c r="O55" s="90"/>
      <c r="P55" s="90"/>
      <c r="Q55" s="90"/>
      <c r="R55" s="90"/>
      <c r="S55" s="90"/>
      <c r="T55" s="90"/>
      <c r="U55" s="90"/>
      <c r="V55" s="90"/>
      <c r="W55" s="90"/>
      <c r="X55" s="90"/>
      <c r="Y55" s="90"/>
      <c r="Z55" s="90"/>
      <c r="AA55" s="91"/>
      <c r="AB55" s="89"/>
      <c r="AC55" s="90"/>
      <c r="AD55" s="90"/>
      <c r="AE55" s="90"/>
      <c r="AF55" s="90"/>
      <c r="AG55" s="90"/>
      <c r="AH55" s="90"/>
      <c r="AI55" s="90"/>
      <c r="AJ55" s="90"/>
      <c r="AK55" s="90"/>
      <c r="AL55" s="90"/>
      <c r="AM55" s="90"/>
      <c r="AN55" s="91"/>
      <c r="AO55" s="1306"/>
      <c r="AP55" s="1307"/>
      <c r="AQ55" s="1307"/>
      <c r="AR55" s="1307"/>
      <c r="AS55" s="1307"/>
      <c r="AT55" s="1307"/>
      <c r="AU55" s="1307"/>
      <c r="AV55" s="1307"/>
      <c r="AW55" s="1307"/>
      <c r="AX55" s="1307"/>
      <c r="AY55" s="1307"/>
      <c r="AZ55" s="1307"/>
      <c r="BA55" s="1307"/>
      <c r="BB55" s="1307"/>
      <c r="BC55" s="1307"/>
      <c r="BD55" s="1307"/>
      <c r="BE55" s="1307"/>
      <c r="BF55" s="1307"/>
      <c r="BG55" s="1307"/>
      <c r="BH55" s="1307"/>
      <c r="BI55" s="1307"/>
      <c r="BJ55" s="1307"/>
      <c r="BK55" s="1307"/>
      <c r="BL55" s="1308"/>
    </row>
    <row r="56" spans="1:64" ht="15.75">
      <c r="A56" s="1294" t="s">
        <v>75</v>
      </c>
      <c r="B56" s="1295"/>
      <c r="C56" s="1295"/>
      <c r="D56" s="1295"/>
      <c r="E56" s="1295"/>
      <c r="F56" s="1295"/>
      <c r="G56" s="1295"/>
      <c r="H56" s="1295"/>
      <c r="I56" s="1295"/>
      <c r="J56" s="1295"/>
      <c r="K56" s="1295"/>
      <c r="L56" s="1295"/>
      <c r="M56" s="1295"/>
      <c r="N56" s="1295"/>
      <c r="O56" s="1295"/>
      <c r="P56" s="1295"/>
      <c r="Q56" s="1295"/>
      <c r="R56" s="1295"/>
      <c r="S56" s="1295"/>
      <c r="T56" s="1295"/>
      <c r="U56" s="1295"/>
      <c r="V56" s="1295"/>
      <c r="W56" s="1295"/>
      <c r="X56" s="1295"/>
      <c r="Y56" s="1295"/>
      <c r="Z56" s="1295"/>
      <c r="AA56" s="1295"/>
      <c r="AB56" s="1295"/>
      <c r="AC56" s="1295"/>
      <c r="AD56" s="1295"/>
      <c r="AE56" s="1295"/>
      <c r="AF56" s="1295"/>
      <c r="AG56" s="1295"/>
      <c r="AH56" s="1295"/>
      <c r="AI56" s="1295"/>
      <c r="AJ56" s="1295"/>
      <c r="AK56" s="1295"/>
      <c r="AL56" s="1295"/>
      <c r="AM56" s="1295"/>
      <c r="AN56" s="1295"/>
      <c r="AO56" s="1295"/>
      <c r="AP56" s="1295"/>
      <c r="AQ56" s="1295"/>
      <c r="AR56" s="1295"/>
      <c r="AS56" s="1295"/>
      <c r="AT56" s="1295"/>
      <c r="AU56" s="1295"/>
      <c r="AV56" s="1295"/>
      <c r="AW56" s="1295"/>
      <c r="AX56" s="1295"/>
      <c r="AY56" s="1295"/>
      <c r="AZ56" s="1295"/>
      <c r="BA56" s="1295"/>
      <c r="BB56" s="1295"/>
      <c r="BC56" s="1295"/>
      <c r="BD56" s="1295"/>
      <c r="BE56" s="1295"/>
      <c r="BF56" s="1295"/>
      <c r="BG56" s="1295"/>
      <c r="BH56" s="1295"/>
      <c r="BI56" s="1295"/>
      <c r="BJ56" s="1295"/>
      <c r="BK56" s="1295"/>
      <c r="BL56" s="1295"/>
    </row>
  </sheetData>
  <mergeCells count="98">
    <mergeCell ref="A18:AG18"/>
    <mergeCell ref="A19:AG19"/>
    <mergeCell ref="A14:AG15"/>
    <mergeCell ref="A16:P17"/>
    <mergeCell ref="Q16:AG17"/>
    <mergeCell ref="A7:S7"/>
    <mergeCell ref="A13:AG13"/>
    <mergeCell ref="D27:I28"/>
    <mergeCell ref="S27:Y28"/>
    <mergeCell ref="A20:C21"/>
    <mergeCell ref="V20:X21"/>
    <mergeCell ref="Y20:AA21"/>
    <mergeCell ref="A26:BL26"/>
    <mergeCell ref="L27:Q27"/>
    <mergeCell ref="M28:Q28"/>
    <mergeCell ref="AI27:AQ28"/>
    <mergeCell ref="AS27:BL28"/>
    <mergeCell ref="AT21:AU21"/>
    <mergeCell ref="AV21:BD21"/>
    <mergeCell ref="BE21:BL21"/>
    <mergeCell ref="AB20:AD21"/>
    <mergeCell ref="O54:Z54"/>
    <mergeCell ref="AC54:AM54"/>
    <mergeCell ref="A56:BL56"/>
    <mergeCell ref="J27:J28"/>
    <mergeCell ref="J29:J37"/>
    <mergeCell ref="K27:K37"/>
    <mergeCell ref="L29:L37"/>
    <mergeCell ref="R27:R37"/>
    <mergeCell ref="Z27:Z37"/>
    <mergeCell ref="AH27:AH37"/>
    <mergeCell ref="AR27:AR37"/>
    <mergeCell ref="A54:M55"/>
    <mergeCell ref="AO54:BL55"/>
    <mergeCell ref="A46:M47"/>
    <mergeCell ref="AB53:AG53"/>
    <mergeCell ref="AJ53:AL53"/>
    <mergeCell ref="AP53:AQ53"/>
    <mergeCell ref="AU53:AY53"/>
    <mergeCell ref="BA53:BL53"/>
    <mergeCell ref="S38:Y38"/>
    <mergeCell ref="AB48:BL48"/>
    <mergeCell ref="O50:Z50"/>
    <mergeCell ref="B52:L52"/>
    <mergeCell ref="O52:Z52"/>
    <mergeCell ref="AC52:AK52"/>
    <mergeCell ref="AO52:AR52"/>
    <mergeCell ref="A38:M39"/>
    <mergeCell ref="AI38:AQ39"/>
    <mergeCell ref="AB40:BL41"/>
    <mergeCell ref="AB42:BL43"/>
    <mergeCell ref="AB44:BL45"/>
    <mergeCell ref="AB46:BL47"/>
    <mergeCell ref="A50:M51"/>
    <mergeCell ref="D29:I36"/>
    <mergeCell ref="M29:Q37"/>
    <mergeCell ref="S29:Y37"/>
    <mergeCell ref="AA29:AG37"/>
    <mergeCell ref="AI29:AQ36"/>
    <mergeCell ref="AS29:BL37"/>
    <mergeCell ref="A27:C28"/>
    <mergeCell ref="A23:Q23"/>
    <mergeCell ref="Z23:AG23"/>
    <mergeCell ref="AH23:AQ23"/>
    <mergeCell ref="A24:BL24"/>
    <mergeCell ref="A25:BL25"/>
    <mergeCell ref="AR22:BL23"/>
    <mergeCell ref="A22:Q22"/>
    <mergeCell ref="R22:U22"/>
    <mergeCell ref="AD22:AG22"/>
    <mergeCell ref="AH22:AQ22"/>
    <mergeCell ref="A37:C37"/>
    <mergeCell ref="D37:I37"/>
    <mergeCell ref="AI37:AQ37"/>
    <mergeCell ref="A29:C36"/>
    <mergeCell ref="D21:U21"/>
    <mergeCell ref="AH21:AK21"/>
    <mergeCell ref="AN21:AO21"/>
    <mergeCell ref="AP21:AQ21"/>
    <mergeCell ref="AR21:AS21"/>
    <mergeCell ref="AE20:AG21"/>
    <mergeCell ref="AL20:AM21"/>
    <mergeCell ref="D20:U20"/>
    <mergeCell ref="A1:C1"/>
    <mergeCell ref="D1:F1"/>
    <mergeCell ref="G1:S1"/>
    <mergeCell ref="AT1:BJ1"/>
    <mergeCell ref="AH6:BL6"/>
    <mergeCell ref="A4:AG6"/>
    <mergeCell ref="AH20:AK20"/>
    <mergeCell ref="AN20:AQ20"/>
    <mergeCell ref="AR20:AU20"/>
    <mergeCell ref="AV20:BD20"/>
    <mergeCell ref="BE20:BL20"/>
    <mergeCell ref="AH7:BL12"/>
    <mergeCell ref="A9:AG12"/>
    <mergeCell ref="AN2:BL5"/>
    <mergeCell ref="AH13:BL19"/>
  </mergeCells>
  <pageMargins left="0.23958333333333301" right="0.23958333333333301" top="0" bottom="0.75" header="0" footer="0.30972222222222201"/>
  <pageSetup paperSize="9" scale="99" orientation="portrait" verticalDpi="20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L56"/>
  <sheetViews>
    <sheetView showGridLines="0" view="pageLayout" topLeftCell="A18" zoomScale="117" zoomScaleNormal="100" zoomScalePageLayoutView="117" workbookViewId="0">
      <selection activeCell="AH13" sqref="AH13:BL19"/>
    </sheetView>
  </sheetViews>
  <sheetFormatPr defaultColWidth="9" defaultRowHeight="15"/>
  <cols>
    <col min="1" max="65" width="1.5703125" customWidth="1"/>
  </cols>
  <sheetData>
    <row r="1" spans="1:64" ht="22.5" customHeight="1">
      <c r="A1" s="264">
        <f>'1'!A1</f>
        <v>126</v>
      </c>
      <c r="B1" s="264"/>
      <c r="C1" s="265"/>
      <c r="D1" s="266" t="s">
        <v>0</v>
      </c>
      <c r="E1" s="267"/>
      <c r="F1" s="268"/>
      <c r="G1" s="269">
        <f>'1'!G1</f>
        <v>91929552</v>
      </c>
      <c r="H1" s="270"/>
      <c r="I1" s="270"/>
      <c r="J1" s="270"/>
      <c r="K1" s="270"/>
      <c r="L1" s="270"/>
      <c r="M1" s="270"/>
      <c r="N1" s="270"/>
      <c r="O1" s="270"/>
      <c r="P1" s="270"/>
      <c r="Q1" s="270"/>
      <c r="R1" s="270"/>
      <c r="S1" s="270"/>
      <c r="AT1" s="267" t="str">
        <f>'1'!AT1</f>
        <v>126-91929552</v>
      </c>
      <c r="AU1" s="267"/>
      <c r="AV1" s="267"/>
      <c r="AW1" s="267"/>
      <c r="AX1" s="267"/>
      <c r="AY1" s="267"/>
      <c r="AZ1" s="267"/>
      <c r="BA1" s="267"/>
      <c r="BB1" s="267"/>
      <c r="BC1" s="267"/>
      <c r="BD1" s="267"/>
      <c r="BE1" s="267"/>
      <c r="BF1" s="267"/>
      <c r="BG1" s="267"/>
      <c r="BH1" s="267"/>
      <c r="BI1" s="267"/>
      <c r="BJ1" s="267"/>
    </row>
    <row r="2" spans="1:64">
      <c r="A2" s="1" t="s">
        <v>1</v>
      </c>
      <c r="B2" s="2"/>
      <c r="C2" s="2"/>
      <c r="D2" s="2"/>
      <c r="E2" s="2"/>
      <c r="F2" s="2"/>
      <c r="G2" s="2"/>
      <c r="H2" s="2"/>
      <c r="I2" s="2"/>
      <c r="J2" s="2"/>
      <c r="K2" s="2"/>
      <c r="L2" s="2"/>
      <c r="M2" s="2"/>
      <c r="N2" s="2"/>
      <c r="O2" s="2"/>
      <c r="P2" s="2"/>
      <c r="Q2" s="2"/>
      <c r="R2" s="2"/>
      <c r="S2" s="2"/>
      <c r="T2" s="1" t="s">
        <v>2</v>
      </c>
      <c r="U2" s="2"/>
      <c r="V2" s="2"/>
      <c r="W2" s="2"/>
      <c r="X2" s="2"/>
      <c r="Y2" s="2"/>
      <c r="Z2" s="2"/>
      <c r="AA2" s="2"/>
      <c r="AB2" s="2"/>
      <c r="AC2" s="2"/>
      <c r="AD2" s="2"/>
      <c r="AE2" s="2"/>
      <c r="AF2" s="2"/>
      <c r="AG2" s="3"/>
      <c r="AH2" s="4" t="s">
        <v>3</v>
      </c>
      <c r="AI2" s="4"/>
      <c r="AJ2" s="4"/>
      <c r="AK2" s="4"/>
      <c r="AL2" s="4"/>
      <c r="AM2" s="4"/>
      <c r="AN2" s="449" t="str">
        <f>'1'!AN2</f>
        <v>GARUDA INDONESIA</v>
      </c>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50"/>
    </row>
    <row r="3" spans="1:64" ht="16.5">
      <c r="A3" s="5" t="str">
        <f>'1'!A3</f>
        <v>PT. NUR INFINIT INDOALEA GLOBAL</v>
      </c>
      <c r="B3" s="6"/>
      <c r="C3" s="6"/>
      <c r="D3" s="6"/>
      <c r="E3" s="6"/>
      <c r="F3" s="6"/>
      <c r="G3" s="6"/>
      <c r="H3" s="6"/>
      <c r="I3" s="6"/>
      <c r="J3" s="6"/>
      <c r="K3" s="6"/>
      <c r="L3" s="6"/>
      <c r="M3" s="6"/>
      <c r="N3" s="6"/>
      <c r="O3" s="6"/>
      <c r="P3" s="6"/>
      <c r="Q3" s="6"/>
      <c r="R3" s="6"/>
      <c r="S3" s="6"/>
      <c r="T3" s="7"/>
      <c r="U3" s="8"/>
      <c r="V3" s="8"/>
      <c r="W3" s="8"/>
      <c r="X3" s="8"/>
      <c r="Y3" s="8"/>
      <c r="Z3" s="8"/>
      <c r="AA3" s="8"/>
      <c r="AB3" s="8"/>
      <c r="AC3" s="8"/>
      <c r="AD3" s="8"/>
      <c r="AE3" s="8"/>
      <c r="AF3" s="8"/>
      <c r="AG3" s="9"/>
      <c r="AH3" s="1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2"/>
    </row>
    <row r="4" spans="1:64">
      <c r="A4" s="440"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12"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2"/>
    </row>
    <row r="5" spans="1:64">
      <c r="A5" s="442"/>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441"/>
      <c r="AH5" s="13"/>
      <c r="AI5" s="14"/>
      <c r="AJ5" s="14"/>
      <c r="AK5" s="14"/>
      <c r="AL5" s="14"/>
      <c r="AM5" s="14"/>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4"/>
    </row>
    <row r="6" spans="1:64">
      <c r="A6" s="442"/>
      <c r="B6" s="441"/>
      <c r="C6" s="441"/>
      <c r="D6" s="441"/>
      <c r="E6" s="441"/>
      <c r="F6" s="441"/>
      <c r="G6" s="441"/>
      <c r="H6" s="441"/>
      <c r="I6" s="441"/>
      <c r="J6" s="441"/>
      <c r="K6" s="441"/>
      <c r="L6" s="441"/>
      <c r="M6" s="441"/>
      <c r="N6" s="441"/>
      <c r="O6" s="441"/>
      <c r="P6" s="441"/>
      <c r="Q6" s="441"/>
      <c r="R6" s="441"/>
      <c r="S6" s="441"/>
      <c r="T6" s="443"/>
      <c r="U6" s="443"/>
      <c r="V6" s="443"/>
      <c r="W6" s="443"/>
      <c r="X6" s="443"/>
      <c r="Y6" s="443"/>
      <c r="Z6" s="443"/>
      <c r="AA6" s="443"/>
      <c r="AB6" s="443"/>
      <c r="AC6" s="443"/>
      <c r="AD6" s="443"/>
      <c r="AE6" s="443"/>
      <c r="AF6" s="443"/>
      <c r="AG6" s="444"/>
      <c r="AH6" s="271" t="s">
        <v>9</v>
      </c>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row>
    <row r="7" spans="1:64">
      <c r="A7" s="455" t="s">
        <v>10</v>
      </c>
      <c r="B7" s="337"/>
      <c r="C7" s="337"/>
      <c r="D7" s="337"/>
      <c r="E7" s="337"/>
      <c r="F7" s="337"/>
      <c r="G7" s="337"/>
      <c r="H7" s="337"/>
      <c r="I7" s="337"/>
      <c r="J7" s="337"/>
      <c r="K7" s="337"/>
      <c r="L7" s="337"/>
      <c r="M7" s="337"/>
      <c r="N7" s="337"/>
      <c r="O7" s="337"/>
      <c r="P7" s="337"/>
      <c r="Q7" s="337"/>
      <c r="R7" s="337"/>
      <c r="S7" s="337"/>
      <c r="T7" s="455" t="s">
        <v>11</v>
      </c>
      <c r="U7" s="337"/>
      <c r="V7" s="337"/>
      <c r="W7" s="337"/>
      <c r="X7" s="337"/>
      <c r="Y7" s="337"/>
      <c r="Z7" s="337"/>
      <c r="AA7" s="337"/>
      <c r="AB7" s="337"/>
      <c r="AC7" s="337"/>
      <c r="AD7" s="337"/>
      <c r="AE7" s="337"/>
      <c r="AF7" s="337"/>
      <c r="AG7" s="338"/>
      <c r="AH7" s="445" t="s">
        <v>12</v>
      </c>
      <c r="AI7" s="446"/>
      <c r="AJ7" s="446"/>
      <c r="AK7" s="446"/>
      <c r="AL7" s="446"/>
      <c r="AM7" s="446"/>
      <c r="AN7" s="446"/>
      <c r="AO7" s="446"/>
      <c r="AP7" s="446"/>
      <c r="AQ7" s="446"/>
      <c r="AR7" s="446"/>
      <c r="AS7" s="446"/>
      <c r="AT7" s="446"/>
      <c r="AU7" s="446"/>
      <c r="AV7" s="446"/>
      <c r="AW7" s="446"/>
      <c r="AX7" s="446"/>
      <c r="AY7" s="446"/>
      <c r="AZ7" s="446"/>
      <c r="BA7" s="446"/>
      <c r="BB7" s="446"/>
      <c r="BC7" s="446"/>
      <c r="BD7" s="446"/>
      <c r="BE7" s="446"/>
      <c r="BF7" s="446"/>
      <c r="BG7" s="446"/>
      <c r="BH7" s="446"/>
      <c r="BI7" s="446"/>
      <c r="BJ7" s="446"/>
      <c r="BK7" s="446"/>
      <c r="BL7" s="446"/>
    </row>
    <row r="8" spans="1:64">
      <c r="A8" s="263" t="str">
        <f>'1'!A8</f>
        <v>LINEHAUL EXPRESS SINGAPORE PTE LTD</v>
      </c>
      <c r="B8" s="15"/>
      <c r="C8" s="15"/>
      <c r="D8" s="15"/>
      <c r="E8" s="15"/>
      <c r="F8" s="15"/>
      <c r="G8" s="15"/>
      <c r="H8" s="15"/>
      <c r="I8" s="15"/>
      <c r="J8" s="15"/>
      <c r="K8" s="15"/>
      <c r="L8" s="15"/>
      <c r="M8" s="15"/>
      <c r="N8" s="15"/>
      <c r="O8" s="15"/>
      <c r="P8" s="15"/>
      <c r="Q8" s="15"/>
      <c r="R8" s="15"/>
      <c r="S8" s="15"/>
      <c r="T8" s="7"/>
      <c r="U8" s="8"/>
      <c r="V8" s="8"/>
      <c r="W8" s="8"/>
      <c r="X8" s="8"/>
      <c r="Y8" s="8"/>
      <c r="Z8" s="8"/>
      <c r="AA8" s="8"/>
      <c r="AB8" s="8"/>
      <c r="AC8" s="8"/>
      <c r="AD8" s="8"/>
      <c r="AE8" s="8"/>
      <c r="AF8" s="8"/>
      <c r="AG8" s="9"/>
      <c r="AH8" s="447"/>
      <c r="AI8" s="446"/>
      <c r="AJ8" s="446"/>
      <c r="AK8" s="446"/>
      <c r="AL8" s="446"/>
      <c r="AM8" s="446"/>
      <c r="AN8" s="446"/>
      <c r="AO8" s="446"/>
      <c r="AP8" s="446"/>
      <c r="AQ8" s="446"/>
      <c r="AR8" s="446"/>
      <c r="AS8" s="446"/>
      <c r="AT8" s="446"/>
      <c r="AU8" s="446"/>
      <c r="AV8" s="446"/>
      <c r="AW8" s="446"/>
      <c r="AX8" s="446"/>
      <c r="AY8" s="446"/>
      <c r="AZ8" s="446"/>
      <c r="BA8" s="446"/>
      <c r="BB8" s="446"/>
      <c r="BC8" s="446"/>
      <c r="BD8" s="446"/>
      <c r="BE8" s="446"/>
      <c r="BF8" s="446"/>
      <c r="BG8" s="446"/>
      <c r="BH8" s="446"/>
      <c r="BI8" s="446"/>
      <c r="BJ8" s="446"/>
      <c r="BK8" s="446"/>
      <c r="BL8" s="446"/>
    </row>
    <row r="9" spans="1:64">
      <c r="A9" s="448"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447"/>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row>
    <row r="10" spans="1:64">
      <c r="A10" s="339"/>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447"/>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row>
    <row r="11" spans="1:64">
      <c r="A11" s="339"/>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1"/>
      <c r="AH11" s="447"/>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row>
    <row r="12" spans="1:64">
      <c r="A12" s="339"/>
      <c r="B12" s="340"/>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1"/>
      <c r="AH12" s="447"/>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46"/>
      <c r="BE12" s="446"/>
      <c r="BF12" s="446"/>
      <c r="BG12" s="446"/>
      <c r="BH12" s="446"/>
      <c r="BI12" s="446"/>
      <c r="BJ12" s="446"/>
      <c r="BK12" s="446"/>
      <c r="BL12" s="446"/>
    </row>
    <row r="13" spans="1:64">
      <c r="A13" s="455" t="s">
        <v>15</v>
      </c>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8"/>
      <c r="AH13" s="337" t="s">
        <v>16</v>
      </c>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8"/>
    </row>
    <row r="14" spans="1:64">
      <c r="A14" s="433"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5"/>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431"/>
    </row>
    <row r="15" spans="1:64">
      <c r="A15" s="436"/>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8"/>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431"/>
    </row>
    <row r="16" spans="1:64">
      <c r="A16" s="417" t="s">
        <v>18</v>
      </c>
      <c r="B16" s="417"/>
      <c r="C16" s="417"/>
      <c r="D16" s="417"/>
      <c r="E16" s="417"/>
      <c r="F16" s="417"/>
      <c r="G16" s="417"/>
      <c r="H16" s="417"/>
      <c r="I16" s="417"/>
      <c r="J16" s="417"/>
      <c r="K16" s="417"/>
      <c r="L16" s="417"/>
      <c r="M16" s="417"/>
      <c r="N16" s="417"/>
      <c r="O16" s="417"/>
      <c r="P16" s="417"/>
      <c r="Q16" s="417" t="s">
        <v>19</v>
      </c>
      <c r="R16" s="417"/>
      <c r="S16" s="417"/>
      <c r="T16" s="417"/>
      <c r="U16" s="417"/>
      <c r="V16" s="417"/>
      <c r="W16" s="417"/>
      <c r="X16" s="417"/>
      <c r="Y16" s="417"/>
      <c r="Z16" s="417"/>
      <c r="AA16" s="417"/>
      <c r="AB16" s="417"/>
      <c r="AC16" s="417"/>
      <c r="AD16" s="417"/>
      <c r="AE16" s="417"/>
      <c r="AF16" s="417"/>
      <c r="AG16" s="417"/>
      <c r="AH16" s="335"/>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431"/>
    </row>
    <row r="17" spans="1:64">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335"/>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431"/>
    </row>
    <row r="18" spans="1:64">
      <c r="A18" s="455" t="s">
        <v>20</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8"/>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431"/>
    </row>
    <row r="19" spans="1:64">
      <c r="A19" s="436" t="str">
        <f>'1'!A19</f>
        <v>SOEKARNO-HATTA INTERNATIONAL AIRPORT</v>
      </c>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8"/>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2"/>
      <c r="BK19" s="432"/>
      <c r="BL19" s="416"/>
    </row>
    <row r="20" spans="1:64" ht="15" customHeight="1">
      <c r="A20" s="413" t="str">
        <f>'1'!A20</f>
        <v>SIN</v>
      </c>
      <c r="B20" s="413"/>
      <c r="C20" s="286"/>
      <c r="D20" s="294" t="s">
        <v>23</v>
      </c>
      <c r="E20" s="295"/>
      <c r="F20" s="295"/>
      <c r="G20" s="295"/>
      <c r="H20" s="295"/>
      <c r="I20" s="295"/>
      <c r="J20" s="295"/>
      <c r="K20" s="295"/>
      <c r="L20" s="295"/>
      <c r="M20" s="295"/>
      <c r="N20" s="295"/>
      <c r="O20" s="295"/>
      <c r="P20" s="295"/>
      <c r="Q20" s="295"/>
      <c r="R20" s="295"/>
      <c r="S20" s="295"/>
      <c r="T20" s="295"/>
      <c r="U20" s="296"/>
      <c r="V20" s="416" t="s">
        <v>26</v>
      </c>
      <c r="W20" s="417"/>
      <c r="X20" s="417"/>
      <c r="Y20" s="417" t="s">
        <v>27</v>
      </c>
      <c r="Z20" s="417"/>
      <c r="AA20" s="417"/>
      <c r="AB20" s="417" t="s">
        <v>26</v>
      </c>
      <c r="AC20" s="417"/>
      <c r="AD20" s="417"/>
      <c r="AE20" s="417" t="s">
        <v>27</v>
      </c>
      <c r="AF20" s="417"/>
      <c r="AG20" s="417"/>
      <c r="AH20" s="276" t="s">
        <v>28</v>
      </c>
      <c r="AI20" s="277"/>
      <c r="AJ20" s="277"/>
      <c r="AK20" s="278"/>
      <c r="AL20" s="420" t="s">
        <v>29</v>
      </c>
      <c r="AM20" s="421"/>
      <c r="AN20" s="297" t="s">
        <v>30</v>
      </c>
      <c r="AO20" s="297"/>
      <c r="AP20" s="297"/>
      <c r="AQ20" s="297"/>
      <c r="AR20" s="297" t="s">
        <v>31</v>
      </c>
      <c r="AS20" s="297"/>
      <c r="AT20" s="297"/>
      <c r="AU20" s="297"/>
      <c r="AV20" s="279" t="s">
        <v>32</v>
      </c>
      <c r="AW20" s="280"/>
      <c r="AX20" s="280"/>
      <c r="AY20" s="280"/>
      <c r="AZ20" s="280"/>
      <c r="BA20" s="280"/>
      <c r="BB20" s="280"/>
      <c r="BC20" s="280"/>
      <c r="BD20" s="281"/>
      <c r="BE20" s="279" t="s">
        <v>33</v>
      </c>
      <c r="BF20" s="280"/>
      <c r="BG20" s="280"/>
      <c r="BH20" s="280"/>
      <c r="BI20" s="280"/>
      <c r="BJ20" s="280"/>
      <c r="BK20" s="280"/>
      <c r="BL20" s="281"/>
    </row>
    <row r="21" spans="1:64">
      <c r="A21" s="414"/>
      <c r="B21" s="414"/>
      <c r="C21" s="415"/>
      <c r="D21" s="282" t="str">
        <f>'1'!D21</f>
        <v>GARUDA INDONESIA</v>
      </c>
      <c r="E21" s="283"/>
      <c r="F21" s="283"/>
      <c r="G21" s="283"/>
      <c r="H21" s="283"/>
      <c r="I21" s="283"/>
      <c r="J21" s="283"/>
      <c r="K21" s="283"/>
      <c r="L21" s="283"/>
      <c r="M21" s="283"/>
      <c r="N21" s="283"/>
      <c r="O21" s="283"/>
      <c r="P21" s="283"/>
      <c r="Q21" s="283"/>
      <c r="R21" s="284"/>
      <c r="S21" s="284"/>
      <c r="T21" s="284"/>
      <c r="U21" s="285"/>
      <c r="V21" s="418"/>
      <c r="W21" s="419"/>
      <c r="X21" s="419"/>
      <c r="Y21" s="419"/>
      <c r="Z21" s="419"/>
      <c r="AA21" s="419"/>
      <c r="AB21" s="419"/>
      <c r="AC21" s="419"/>
      <c r="AD21" s="419"/>
      <c r="AE21" s="419"/>
      <c r="AF21" s="419"/>
      <c r="AG21" s="419"/>
      <c r="AH21" s="286" t="str">
        <f>'1'!AH21</f>
        <v>IDR</v>
      </c>
      <c r="AI21" s="287"/>
      <c r="AJ21" s="287"/>
      <c r="AK21" s="288"/>
      <c r="AL21" s="421"/>
      <c r="AM21" s="421"/>
      <c r="AN21" s="289" t="s">
        <v>72</v>
      </c>
      <c r="AO21" s="290"/>
      <c r="AP21" s="289" t="s">
        <v>73</v>
      </c>
      <c r="AQ21" s="290"/>
      <c r="AR21" s="289" t="s">
        <v>72</v>
      </c>
      <c r="AS21" s="290"/>
      <c r="AT21" s="290" t="s">
        <v>36</v>
      </c>
      <c r="AU21" s="290"/>
      <c r="AV21" s="291" t="str">
        <f>'1'!AV21</f>
        <v>NVD</v>
      </c>
      <c r="AW21" s="292"/>
      <c r="AX21" s="292"/>
      <c r="AY21" s="292"/>
      <c r="AZ21" s="292"/>
      <c r="BA21" s="292"/>
      <c r="BB21" s="292"/>
      <c r="BC21" s="292"/>
      <c r="BD21" s="293"/>
      <c r="BE21" s="291" t="str">
        <f>'1'!BE21</f>
        <v>NCV</v>
      </c>
      <c r="BF21" s="292"/>
      <c r="BG21" s="292"/>
      <c r="BH21" s="292"/>
      <c r="BI21" s="292"/>
      <c r="BJ21" s="292"/>
      <c r="BK21" s="292"/>
      <c r="BL21" s="293"/>
    </row>
    <row r="22" spans="1:64">
      <c r="A22" s="428" t="s">
        <v>39</v>
      </c>
      <c r="B22" s="429"/>
      <c r="C22" s="429"/>
      <c r="D22" s="429"/>
      <c r="E22" s="429"/>
      <c r="F22" s="429"/>
      <c r="G22" s="429"/>
      <c r="H22" s="429"/>
      <c r="I22" s="429"/>
      <c r="J22" s="429"/>
      <c r="K22" s="429"/>
      <c r="L22" s="429"/>
      <c r="M22" s="429"/>
      <c r="N22" s="429"/>
      <c r="O22" s="429"/>
      <c r="P22" s="429"/>
      <c r="Q22" s="430"/>
      <c r="R22" s="273" t="s">
        <v>40</v>
      </c>
      <c r="S22" s="273"/>
      <c r="T22" s="273"/>
      <c r="U22" s="273"/>
      <c r="V22" s="273"/>
      <c r="W22" s="273"/>
      <c r="X22" s="273"/>
      <c r="Y22" s="273"/>
      <c r="Z22" s="273"/>
      <c r="AA22" s="273"/>
      <c r="AB22" s="273"/>
      <c r="AC22" s="273"/>
      <c r="AD22" s="273" t="s">
        <v>40</v>
      </c>
      <c r="AE22" s="274"/>
      <c r="AF22" s="274"/>
      <c r="AG22" s="275"/>
      <c r="AH22" s="276" t="s">
        <v>41</v>
      </c>
      <c r="AI22" s="277"/>
      <c r="AJ22" s="277"/>
      <c r="AK22" s="277"/>
      <c r="AL22" s="277"/>
      <c r="AM22" s="277"/>
      <c r="AN22" s="277"/>
      <c r="AO22" s="277"/>
      <c r="AP22" s="277"/>
      <c r="AQ22" s="278"/>
      <c r="AR22" s="407" t="s">
        <v>42</v>
      </c>
      <c r="AS22" s="408"/>
      <c r="AT22" s="408"/>
      <c r="AU22" s="408"/>
      <c r="AV22" s="408"/>
      <c r="AW22" s="408"/>
      <c r="AX22" s="408"/>
      <c r="AY22" s="408"/>
      <c r="AZ22" s="408"/>
      <c r="BA22" s="408"/>
      <c r="BB22" s="408"/>
      <c r="BC22" s="408"/>
      <c r="BD22" s="408"/>
      <c r="BE22" s="408"/>
      <c r="BF22" s="408"/>
      <c r="BG22" s="408"/>
      <c r="BH22" s="408"/>
      <c r="BI22" s="408"/>
      <c r="BJ22" s="408"/>
      <c r="BK22" s="408"/>
      <c r="BL22" s="409"/>
    </row>
    <row r="23" spans="1:64">
      <c r="A23" s="329" t="str">
        <f>'1'!A23</f>
        <v>SINGAPORE</v>
      </c>
      <c r="B23" s="330"/>
      <c r="C23" s="330"/>
      <c r="D23" s="330"/>
      <c r="E23" s="330"/>
      <c r="F23" s="330"/>
      <c r="G23" s="330"/>
      <c r="H23" s="330"/>
      <c r="I23" s="330"/>
      <c r="J23" s="330"/>
      <c r="K23" s="330"/>
      <c r="L23" s="330"/>
      <c r="M23" s="330"/>
      <c r="N23" s="330"/>
      <c r="O23" s="330"/>
      <c r="P23" s="330"/>
      <c r="Q23" s="331"/>
      <c r="R23" s="16" t="str">
        <f>'4'!R23</f>
        <v>GA 824</v>
      </c>
      <c r="S23" s="16"/>
      <c r="T23" s="16"/>
      <c r="U23" s="16"/>
      <c r="V23" s="16"/>
      <c r="W23" s="16"/>
      <c r="X23" s="16"/>
      <c r="Y23" s="17"/>
      <c r="Z23" s="332">
        <f>'4'!Z23</f>
        <v>46171</v>
      </c>
      <c r="AA23" s="333"/>
      <c r="AB23" s="333"/>
      <c r="AC23" s="333"/>
      <c r="AD23" s="333"/>
      <c r="AE23" s="333"/>
      <c r="AF23" s="333"/>
      <c r="AG23" s="334"/>
      <c r="AH23" s="286" t="s">
        <v>45</v>
      </c>
      <c r="AI23" s="287"/>
      <c r="AJ23" s="287"/>
      <c r="AK23" s="287"/>
      <c r="AL23" s="287"/>
      <c r="AM23" s="287"/>
      <c r="AN23" s="287"/>
      <c r="AO23" s="287"/>
      <c r="AP23" s="287"/>
      <c r="AQ23" s="288"/>
      <c r="AR23" s="410"/>
      <c r="AS23" s="411"/>
      <c r="AT23" s="411"/>
      <c r="AU23" s="411"/>
      <c r="AV23" s="411"/>
      <c r="AW23" s="411"/>
      <c r="AX23" s="411"/>
      <c r="AY23" s="411"/>
      <c r="AZ23" s="411"/>
      <c r="BA23" s="411"/>
      <c r="BB23" s="411"/>
      <c r="BC23" s="411"/>
      <c r="BD23" s="411"/>
      <c r="BE23" s="411"/>
      <c r="BF23" s="411"/>
      <c r="BG23" s="411"/>
      <c r="BH23" s="411"/>
      <c r="BI23" s="411"/>
      <c r="BJ23" s="411"/>
      <c r="BK23" s="411"/>
      <c r="BL23" s="412"/>
    </row>
    <row r="24" spans="1:64">
      <c r="A24" s="335" t="s">
        <v>46</v>
      </c>
      <c r="B24" s="336"/>
      <c r="C24" s="336"/>
      <c r="D24" s="336"/>
      <c r="E24" s="336"/>
      <c r="F24" s="336"/>
      <c r="G24" s="336"/>
      <c r="H24" s="336"/>
      <c r="I24" s="336"/>
      <c r="J24" s="336"/>
      <c r="K24" s="336"/>
      <c r="L24" s="336"/>
      <c r="M24" s="336"/>
      <c r="N24" s="336"/>
      <c r="O24" s="336"/>
      <c r="P24" s="336"/>
      <c r="Q24" s="336"/>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8"/>
    </row>
    <row r="25" spans="1:64">
      <c r="A25" s="339"/>
      <c r="B25" s="340"/>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341"/>
    </row>
    <row r="26" spans="1:64">
      <c r="A26" s="422"/>
      <c r="B26" s="423"/>
      <c r="C26" s="423"/>
      <c r="D26" s="423"/>
      <c r="E26" s="423"/>
      <c r="F26" s="423"/>
      <c r="G26" s="423"/>
      <c r="H26" s="423"/>
      <c r="I26" s="423"/>
      <c r="J26" s="423"/>
      <c r="K26" s="423"/>
      <c r="L26" s="423"/>
      <c r="M26" s="423"/>
      <c r="N26" s="423"/>
      <c r="O26" s="423"/>
      <c r="P26" s="423"/>
      <c r="Q26" s="423"/>
      <c r="R26" s="423"/>
      <c r="S26" s="423"/>
      <c r="T26" s="423"/>
      <c r="U26" s="423"/>
      <c r="V26" s="423"/>
      <c r="W26" s="423"/>
      <c r="X26" s="423"/>
      <c r="Y26" s="423"/>
      <c r="Z26" s="423"/>
      <c r="AA26" s="423"/>
      <c r="AB26" s="423"/>
      <c r="AC26" s="423"/>
      <c r="AD26" s="423"/>
      <c r="AE26" s="423"/>
      <c r="AF26" s="423"/>
      <c r="AG26" s="423"/>
      <c r="AH26" s="423"/>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423"/>
      <c r="BE26" s="423"/>
      <c r="BF26" s="423"/>
      <c r="BG26" s="423"/>
      <c r="BH26" s="423"/>
      <c r="BI26" s="423"/>
      <c r="BJ26" s="423"/>
      <c r="BK26" s="423"/>
      <c r="BL26" s="424"/>
    </row>
    <row r="27" spans="1:64" ht="15.75">
      <c r="A27" s="327" t="s">
        <v>47</v>
      </c>
      <c r="B27" s="327"/>
      <c r="C27" s="327"/>
      <c r="D27" s="327" t="s">
        <v>48</v>
      </c>
      <c r="E27" s="327"/>
      <c r="F27" s="327"/>
      <c r="G27" s="327"/>
      <c r="H27" s="327"/>
      <c r="I27" s="327"/>
      <c r="J27" s="379" t="s">
        <v>49</v>
      </c>
      <c r="K27" s="382"/>
      <c r="L27" s="425" t="s">
        <v>50</v>
      </c>
      <c r="M27" s="406"/>
      <c r="N27" s="406"/>
      <c r="O27" s="406"/>
      <c r="P27" s="406"/>
      <c r="Q27" s="406"/>
      <c r="R27" s="382"/>
      <c r="S27" s="406" t="s">
        <v>51</v>
      </c>
      <c r="T27" s="406"/>
      <c r="U27" s="406"/>
      <c r="V27" s="406"/>
      <c r="W27" s="406"/>
      <c r="X27" s="406"/>
      <c r="Y27" s="406"/>
      <c r="Z27" s="382"/>
      <c r="AA27" s="24" t="s">
        <v>52</v>
      </c>
      <c r="AB27" s="25"/>
      <c r="AC27" s="25"/>
      <c r="AD27" s="25"/>
      <c r="AE27" s="25"/>
      <c r="AF27" s="25"/>
      <c r="AG27" s="26"/>
      <c r="AH27" s="384"/>
      <c r="AI27" s="406" t="s">
        <v>53</v>
      </c>
      <c r="AJ27" s="406"/>
      <c r="AK27" s="406"/>
      <c r="AL27" s="406"/>
      <c r="AM27" s="406"/>
      <c r="AN27" s="406"/>
      <c r="AO27" s="406"/>
      <c r="AP27" s="406"/>
      <c r="AQ27" s="406"/>
      <c r="AR27" s="382"/>
      <c r="AS27" s="327" t="s">
        <v>54</v>
      </c>
      <c r="AT27" s="406"/>
      <c r="AU27" s="406"/>
      <c r="AV27" s="406"/>
      <c r="AW27" s="406"/>
      <c r="AX27" s="406"/>
      <c r="AY27" s="406"/>
      <c r="AZ27" s="406"/>
      <c r="BA27" s="406"/>
      <c r="BB27" s="406"/>
      <c r="BC27" s="406"/>
      <c r="BD27" s="406"/>
      <c r="BE27" s="406"/>
      <c r="BF27" s="406"/>
      <c r="BG27" s="406"/>
      <c r="BH27" s="406"/>
      <c r="BI27" s="406"/>
      <c r="BJ27" s="406"/>
      <c r="BK27" s="406"/>
      <c r="BL27" s="406"/>
    </row>
    <row r="28" spans="1:64" ht="21" customHeight="1">
      <c r="A28" s="328"/>
      <c r="B28" s="328"/>
      <c r="C28" s="328"/>
      <c r="D28" s="328"/>
      <c r="E28" s="328"/>
      <c r="F28" s="328"/>
      <c r="G28" s="328"/>
      <c r="H28" s="328"/>
      <c r="I28" s="328"/>
      <c r="J28" s="380"/>
      <c r="K28" s="383"/>
      <c r="L28" s="27"/>
      <c r="M28" s="426" t="s">
        <v>55</v>
      </c>
      <c r="N28" s="426"/>
      <c r="O28" s="426"/>
      <c r="P28" s="426"/>
      <c r="Q28" s="427"/>
      <c r="R28" s="382"/>
      <c r="S28" s="297"/>
      <c r="T28" s="297"/>
      <c r="U28" s="297"/>
      <c r="V28" s="297"/>
      <c r="W28" s="297"/>
      <c r="X28" s="297"/>
      <c r="Y28" s="297"/>
      <c r="Z28" s="382"/>
      <c r="AA28" s="28"/>
      <c r="AB28" s="29"/>
      <c r="AC28" s="29"/>
      <c r="AD28" s="29"/>
      <c r="AE28" s="30" t="s">
        <v>56</v>
      </c>
      <c r="AF28" s="29"/>
      <c r="AG28" s="31"/>
      <c r="AH28" s="384"/>
      <c r="AI28" s="297"/>
      <c r="AJ28" s="297"/>
      <c r="AK28" s="297"/>
      <c r="AL28" s="297"/>
      <c r="AM28" s="297"/>
      <c r="AN28" s="297"/>
      <c r="AO28" s="297"/>
      <c r="AP28" s="297"/>
      <c r="AQ28" s="297"/>
      <c r="AR28" s="382"/>
      <c r="AS28" s="297"/>
      <c r="AT28" s="297"/>
      <c r="AU28" s="297"/>
      <c r="AV28" s="297"/>
      <c r="AW28" s="297"/>
      <c r="AX28" s="297"/>
      <c r="AY28" s="297"/>
      <c r="AZ28" s="297"/>
      <c r="BA28" s="297"/>
      <c r="BB28" s="297"/>
      <c r="BC28" s="297"/>
      <c r="BD28" s="297"/>
      <c r="BE28" s="297"/>
      <c r="BF28" s="297"/>
      <c r="BG28" s="297"/>
      <c r="BH28" s="297"/>
      <c r="BI28" s="297"/>
      <c r="BJ28" s="297"/>
      <c r="BK28" s="297"/>
      <c r="BL28" s="297"/>
    </row>
    <row r="29" spans="1:64">
      <c r="A29" s="304">
        <f>'1'!A29</f>
        <v>23</v>
      </c>
      <c r="B29" s="305"/>
      <c r="C29" s="306"/>
      <c r="D29" s="314">
        <f>'1'!D29</f>
        <v>398</v>
      </c>
      <c r="E29" s="315"/>
      <c r="F29" s="315"/>
      <c r="G29" s="315"/>
      <c r="H29" s="315"/>
      <c r="I29" s="316"/>
      <c r="J29" s="381" t="s">
        <v>57</v>
      </c>
      <c r="K29" s="382"/>
      <c r="L29" s="381" t="s">
        <v>58</v>
      </c>
      <c r="M29" s="324"/>
      <c r="N29" s="325"/>
      <c r="O29" s="325"/>
      <c r="P29" s="325"/>
      <c r="Q29" s="326"/>
      <c r="R29" s="382"/>
      <c r="S29" s="314">
        <f>'1'!S29</f>
        <v>398</v>
      </c>
      <c r="T29" s="315"/>
      <c r="U29" s="315"/>
      <c r="V29" s="315"/>
      <c r="W29" s="315"/>
      <c r="X29" s="315"/>
      <c r="Y29" s="316"/>
      <c r="Z29" s="382"/>
      <c r="AA29" s="320">
        <f>'1'!AA29</f>
        <v>16800</v>
      </c>
      <c r="AB29" s="320"/>
      <c r="AC29" s="320"/>
      <c r="AD29" s="320"/>
      <c r="AE29" s="320"/>
      <c r="AF29" s="320"/>
      <c r="AG29" s="319"/>
      <c r="AH29" s="382"/>
      <c r="AI29" s="342">
        <f>'1'!AI29</f>
        <v>6686400</v>
      </c>
      <c r="AJ29" s="343"/>
      <c r="AK29" s="343"/>
      <c r="AL29" s="343"/>
      <c r="AM29" s="343"/>
      <c r="AN29" s="343"/>
      <c r="AO29" s="343"/>
      <c r="AP29" s="343"/>
      <c r="AQ29" s="344"/>
      <c r="AR29" s="382"/>
      <c r="AS29" s="370">
        <f>'4'!AS29</f>
        <v>0</v>
      </c>
      <c r="AT29" s="371"/>
      <c r="AU29" s="371"/>
      <c r="AV29" s="371"/>
      <c r="AW29" s="371"/>
      <c r="AX29" s="371"/>
      <c r="AY29" s="371"/>
      <c r="AZ29" s="371"/>
      <c r="BA29" s="371"/>
      <c r="BB29" s="371"/>
      <c r="BC29" s="371"/>
      <c r="BD29" s="371"/>
      <c r="BE29" s="371"/>
      <c r="BF29" s="371"/>
      <c r="BG29" s="371"/>
      <c r="BH29" s="371"/>
      <c r="BI29" s="371"/>
      <c r="BJ29" s="371"/>
      <c r="BK29" s="371"/>
      <c r="BL29" s="372"/>
    </row>
    <row r="30" spans="1:64">
      <c r="A30" s="307"/>
      <c r="B30" s="308"/>
      <c r="C30" s="309"/>
      <c r="D30" s="317"/>
      <c r="E30" s="318"/>
      <c r="F30" s="318"/>
      <c r="G30" s="318"/>
      <c r="H30" s="318"/>
      <c r="I30" s="319"/>
      <c r="J30" s="381"/>
      <c r="K30" s="382"/>
      <c r="L30" s="381"/>
      <c r="M30" s="324"/>
      <c r="N30" s="325"/>
      <c r="O30" s="325"/>
      <c r="P30" s="325"/>
      <c r="Q30" s="326"/>
      <c r="R30" s="382"/>
      <c r="S30" s="317"/>
      <c r="T30" s="318"/>
      <c r="U30" s="318"/>
      <c r="V30" s="318"/>
      <c r="W30" s="318"/>
      <c r="X30" s="318"/>
      <c r="Y30" s="319"/>
      <c r="Z30" s="382"/>
      <c r="AA30" s="320"/>
      <c r="AB30" s="320"/>
      <c r="AC30" s="320"/>
      <c r="AD30" s="320"/>
      <c r="AE30" s="320"/>
      <c r="AF30" s="320"/>
      <c r="AG30" s="319"/>
      <c r="AH30" s="382"/>
      <c r="AI30" s="345"/>
      <c r="AJ30" s="346"/>
      <c r="AK30" s="346"/>
      <c r="AL30" s="346"/>
      <c r="AM30" s="346"/>
      <c r="AN30" s="346"/>
      <c r="AO30" s="346"/>
      <c r="AP30" s="346"/>
      <c r="AQ30" s="347"/>
      <c r="AR30" s="382"/>
      <c r="AS30" s="373"/>
      <c r="AT30" s="340"/>
      <c r="AU30" s="340"/>
      <c r="AV30" s="340"/>
      <c r="AW30" s="340"/>
      <c r="AX30" s="340"/>
      <c r="AY30" s="340"/>
      <c r="AZ30" s="340"/>
      <c r="BA30" s="340"/>
      <c r="BB30" s="340"/>
      <c r="BC30" s="340"/>
      <c r="BD30" s="340"/>
      <c r="BE30" s="340"/>
      <c r="BF30" s="340"/>
      <c r="BG30" s="340"/>
      <c r="BH30" s="340"/>
      <c r="BI30" s="340"/>
      <c r="BJ30" s="340"/>
      <c r="BK30" s="340"/>
      <c r="BL30" s="341"/>
    </row>
    <row r="31" spans="1:64">
      <c r="A31" s="307"/>
      <c r="B31" s="308"/>
      <c r="C31" s="309"/>
      <c r="D31" s="317"/>
      <c r="E31" s="318"/>
      <c r="F31" s="318"/>
      <c r="G31" s="318"/>
      <c r="H31" s="318"/>
      <c r="I31" s="319"/>
      <c r="J31" s="381"/>
      <c r="K31" s="382"/>
      <c r="L31" s="381"/>
      <c r="M31" s="324"/>
      <c r="N31" s="325"/>
      <c r="O31" s="325"/>
      <c r="P31" s="325"/>
      <c r="Q31" s="326"/>
      <c r="R31" s="382"/>
      <c r="S31" s="317"/>
      <c r="T31" s="318"/>
      <c r="U31" s="318"/>
      <c r="V31" s="318"/>
      <c r="W31" s="318"/>
      <c r="X31" s="318"/>
      <c r="Y31" s="319"/>
      <c r="Z31" s="382"/>
      <c r="AA31" s="320"/>
      <c r="AB31" s="320"/>
      <c r="AC31" s="320"/>
      <c r="AD31" s="320"/>
      <c r="AE31" s="320"/>
      <c r="AF31" s="320"/>
      <c r="AG31" s="319"/>
      <c r="AH31" s="382"/>
      <c r="AI31" s="345"/>
      <c r="AJ31" s="346"/>
      <c r="AK31" s="346"/>
      <c r="AL31" s="346"/>
      <c r="AM31" s="346"/>
      <c r="AN31" s="346"/>
      <c r="AO31" s="346"/>
      <c r="AP31" s="346"/>
      <c r="AQ31" s="347"/>
      <c r="AR31" s="382"/>
      <c r="AS31" s="373"/>
      <c r="AT31" s="340"/>
      <c r="AU31" s="340"/>
      <c r="AV31" s="340"/>
      <c r="AW31" s="340"/>
      <c r="AX31" s="340"/>
      <c r="AY31" s="340"/>
      <c r="AZ31" s="340"/>
      <c r="BA31" s="340"/>
      <c r="BB31" s="340"/>
      <c r="BC31" s="340"/>
      <c r="BD31" s="340"/>
      <c r="BE31" s="340"/>
      <c r="BF31" s="340"/>
      <c r="BG31" s="340"/>
      <c r="BH31" s="340"/>
      <c r="BI31" s="340"/>
      <c r="BJ31" s="340"/>
      <c r="BK31" s="340"/>
      <c r="BL31" s="341"/>
    </row>
    <row r="32" spans="1:64">
      <c r="A32" s="307"/>
      <c r="B32" s="310"/>
      <c r="C32" s="309"/>
      <c r="D32" s="317"/>
      <c r="E32" s="320"/>
      <c r="F32" s="320"/>
      <c r="G32" s="320"/>
      <c r="H32" s="320"/>
      <c r="I32" s="319"/>
      <c r="J32" s="381"/>
      <c r="K32" s="382"/>
      <c r="L32" s="381"/>
      <c r="M32" s="324"/>
      <c r="N32" s="325"/>
      <c r="O32" s="325"/>
      <c r="P32" s="325"/>
      <c r="Q32" s="326"/>
      <c r="R32" s="382"/>
      <c r="S32" s="317"/>
      <c r="T32" s="320"/>
      <c r="U32" s="320"/>
      <c r="V32" s="320"/>
      <c r="W32" s="320"/>
      <c r="X32" s="320"/>
      <c r="Y32" s="319"/>
      <c r="Z32" s="382"/>
      <c r="AA32" s="320"/>
      <c r="AB32" s="320"/>
      <c r="AC32" s="320"/>
      <c r="AD32" s="320"/>
      <c r="AE32" s="320"/>
      <c r="AF32" s="320"/>
      <c r="AG32" s="319"/>
      <c r="AH32" s="382"/>
      <c r="AI32" s="345"/>
      <c r="AJ32" s="348"/>
      <c r="AK32" s="348"/>
      <c r="AL32" s="348"/>
      <c r="AM32" s="348"/>
      <c r="AN32" s="348"/>
      <c r="AO32" s="348"/>
      <c r="AP32" s="348"/>
      <c r="AQ32" s="347"/>
      <c r="AR32" s="382"/>
      <c r="AS32" s="339"/>
      <c r="AT32" s="340"/>
      <c r="AU32" s="340"/>
      <c r="AV32" s="340"/>
      <c r="AW32" s="340"/>
      <c r="AX32" s="340"/>
      <c r="AY32" s="340"/>
      <c r="AZ32" s="340"/>
      <c r="BA32" s="340"/>
      <c r="BB32" s="340"/>
      <c r="BC32" s="340"/>
      <c r="BD32" s="340"/>
      <c r="BE32" s="340"/>
      <c r="BF32" s="340"/>
      <c r="BG32" s="340"/>
      <c r="BH32" s="340"/>
      <c r="BI32" s="340"/>
      <c r="BJ32" s="340"/>
      <c r="BK32" s="340"/>
      <c r="BL32" s="341"/>
    </row>
    <row r="33" spans="1:64">
      <c r="A33" s="307"/>
      <c r="B33" s="310"/>
      <c r="C33" s="309"/>
      <c r="D33" s="317"/>
      <c r="E33" s="320"/>
      <c r="F33" s="320"/>
      <c r="G33" s="320"/>
      <c r="H33" s="320"/>
      <c r="I33" s="319"/>
      <c r="J33" s="381"/>
      <c r="K33" s="382"/>
      <c r="L33" s="381"/>
      <c r="M33" s="324"/>
      <c r="N33" s="325"/>
      <c r="O33" s="325"/>
      <c r="P33" s="325"/>
      <c r="Q33" s="326"/>
      <c r="R33" s="382"/>
      <c r="S33" s="317"/>
      <c r="T33" s="320"/>
      <c r="U33" s="320"/>
      <c r="V33" s="320"/>
      <c r="W33" s="320"/>
      <c r="X33" s="320"/>
      <c r="Y33" s="319"/>
      <c r="Z33" s="382"/>
      <c r="AA33" s="320"/>
      <c r="AB33" s="320"/>
      <c r="AC33" s="320"/>
      <c r="AD33" s="320"/>
      <c r="AE33" s="320"/>
      <c r="AF33" s="320"/>
      <c r="AG33" s="319"/>
      <c r="AH33" s="382"/>
      <c r="AI33" s="345"/>
      <c r="AJ33" s="348"/>
      <c r="AK33" s="348"/>
      <c r="AL33" s="348"/>
      <c r="AM33" s="348"/>
      <c r="AN33" s="348"/>
      <c r="AO33" s="348"/>
      <c r="AP33" s="348"/>
      <c r="AQ33" s="347"/>
      <c r="AR33" s="382"/>
      <c r="AS33" s="339"/>
      <c r="AT33" s="340"/>
      <c r="AU33" s="340"/>
      <c r="AV33" s="340"/>
      <c r="AW33" s="340"/>
      <c r="AX33" s="340"/>
      <c r="AY33" s="340"/>
      <c r="AZ33" s="340"/>
      <c r="BA33" s="340"/>
      <c r="BB33" s="340"/>
      <c r="BC33" s="340"/>
      <c r="BD33" s="340"/>
      <c r="BE33" s="340"/>
      <c r="BF33" s="340"/>
      <c r="BG33" s="340"/>
      <c r="BH33" s="340"/>
      <c r="BI33" s="340"/>
      <c r="BJ33" s="340"/>
      <c r="BK33" s="340"/>
      <c r="BL33" s="341"/>
    </row>
    <row r="34" spans="1:64">
      <c r="A34" s="307"/>
      <c r="B34" s="310"/>
      <c r="C34" s="309"/>
      <c r="D34" s="317"/>
      <c r="E34" s="320"/>
      <c r="F34" s="320"/>
      <c r="G34" s="320"/>
      <c r="H34" s="320"/>
      <c r="I34" s="319"/>
      <c r="J34" s="381"/>
      <c r="K34" s="382"/>
      <c r="L34" s="381"/>
      <c r="M34" s="324"/>
      <c r="N34" s="325"/>
      <c r="O34" s="325"/>
      <c r="P34" s="325"/>
      <c r="Q34" s="326"/>
      <c r="R34" s="382"/>
      <c r="S34" s="317"/>
      <c r="T34" s="320"/>
      <c r="U34" s="320"/>
      <c r="V34" s="320"/>
      <c r="W34" s="320"/>
      <c r="X34" s="320"/>
      <c r="Y34" s="319"/>
      <c r="Z34" s="382"/>
      <c r="AA34" s="320"/>
      <c r="AB34" s="320"/>
      <c r="AC34" s="320"/>
      <c r="AD34" s="320"/>
      <c r="AE34" s="320"/>
      <c r="AF34" s="320"/>
      <c r="AG34" s="319"/>
      <c r="AH34" s="382"/>
      <c r="AI34" s="345"/>
      <c r="AJ34" s="348"/>
      <c r="AK34" s="348"/>
      <c r="AL34" s="348"/>
      <c r="AM34" s="348"/>
      <c r="AN34" s="348"/>
      <c r="AO34" s="348"/>
      <c r="AP34" s="348"/>
      <c r="AQ34" s="347"/>
      <c r="AR34" s="382"/>
      <c r="AS34" s="339"/>
      <c r="AT34" s="340"/>
      <c r="AU34" s="340"/>
      <c r="AV34" s="340"/>
      <c r="AW34" s="340"/>
      <c r="AX34" s="340"/>
      <c r="AY34" s="340"/>
      <c r="AZ34" s="340"/>
      <c r="BA34" s="340"/>
      <c r="BB34" s="340"/>
      <c r="BC34" s="340"/>
      <c r="BD34" s="340"/>
      <c r="BE34" s="340"/>
      <c r="BF34" s="340"/>
      <c r="BG34" s="340"/>
      <c r="BH34" s="340"/>
      <c r="BI34" s="340"/>
      <c r="BJ34" s="340"/>
      <c r="BK34" s="340"/>
      <c r="BL34" s="341"/>
    </row>
    <row r="35" spans="1:64">
      <c r="A35" s="307"/>
      <c r="B35" s="310"/>
      <c r="C35" s="309"/>
      <c r="D35" s="317"/>
      <c r="E35" s="320"/>
      <c r="F35" s="320"/>
      <c r="G35" s="320"/>
      <c r="H35" s="320"/>
      <c r="I35" s="319"/>
      <c r="J35" s="381"/>
      <c r="K35" s="382"/>
      <c r="L35" s="381"/>
      <c r="M35" s="324"/>
      <c r="N35" s="325"/>
      <c r="O35" s="325"/>
      <c r="P35" s="325"/>
      <c r="Q35" s="326"/>
      <c r="R35" s="382"/>
      <c r="S35" s="317"/>
      <c r="T35" s="320"/>
      <c r="U35" s="320"/>
      <c r="V35" s="320"/>
      <c r="W35" s="320"/>
      <c r="X35" s="320"/>
      <c r="Y35" s="319"/>
      <c r="Z35" s="382"/>
      <c r="AA35" s="320"/>
      <c r="AB35" s="320"/>
      <c r="AC35" s="320"/>
      <c r="AD35" s="320"/>
      <c r="AE35" s="320"/>
      <c r="AF35" s="320"/>
      <c r="AG35" s="319"/>
      <c r="AH35" s="382"/>
      <c r="AI35" s="345"/>
      <c r="AJ35" s="348"/>
      <c r="AK35" s="348"/>
      <c r="AL35" s="348"/>
      <c r="AM35" s="348"/>
      <c r="AN35" s="348"/>
      <c r="AO35" s="348"/>
      <c r="AP35" s="348"/>
      <c r="AQ35" s="347"/>
      <c r="AR35" s="382"/>
      <c r="AS35" s="339"/>
      <c r="AT35" s="340"/>
      <c r="AU35" s="340"/>
      <c r="AV35" s="340"/>
      <c r="AW35" s="340"/>
      <c r="AX35" s="340"/>
      <c r="AY35" s="340"/>
      <c r="AZ35" s="340"/>
      <c r="BA35" s="340"/>
      <c r="BB35" s="340"/>
      <c r="BC35" s="340"/>
      <c r="BD35" s="340"/>
      <c r="BE35" s="340"/>
      <c r="BF35" s="340"/>
      <c r="BG35" s="340"/>
      <c r="BH35" s="340"/>
      <c r="BI35" s="340"/>
      <c r="BJ35" s="340"/>
      <c r="BK35" s="340"/>
      <c r="BL35" s="341"/>
    </row>
    <row r="36" spans="1:64">
      <c r="A36" s="311"/>
      <c r="B36" s="312"/>
      <c r="C36" s="313"/>
      <c r="D36" s="321"/>
      <c r="E36" s="322"/>
      <c r="F36" s="322"/>
      <c r="G36" s="322"/>
      <c r="H36" s="322"/>
      <c r="I36" s="323"/>
      <c r="J36" s="381"/>
      <c r="K36" s="382"/>
      <c r="L36" s="381"/>
      <c r="M36" s="324"/>
      <c r="N36" s="325"/>
      <c r="O36" s="325"/>
      <c r="P36" s="325"/>
      <c r="Q36" s="326"/>
      <c r="R36" s="382"/>
      <c r="S36" s="317"/>
      <c r="T36" s="320"/>
      <c r="U36" s="320"/>
      <c r="V36" s="320"/>
      <c r="W36" s="320"/>
      <c r="X36" s="320"/>
      <c r="Y36" s="319"/>
      <c r="Z36" s="382"/>
      <c r="AA36" s="320"/>
      <c r="AB36" s="320"/>
      <c r="AC36" s="320"/>
      <c r="AD36" s="320"/>
      <c r="AE36" s="320"/>
      <c r="AF36" s="320"/>
      <c r="AG36" s="319"/>
      <c r="AH36" s="382"/>
      <c r="AI36" s="345"/>
      <c r="AJ36" s="348"/>
      <c r="AK36" s="348"/>
      <c r="AL36" s="348"/>
      <c r="AM36" s="348"/>
      <c r="AN36" s="348"/>
      <c r="AO36" s="348"/>
      <c r="AP36" s="348"/>
      <c r="AQ36" s="347"/>
      <c r="AR36" s="382"/>
      <c r="AS36" s="339"/>
      <c r="AT36" s="340"/>
      <c r="AU36" s="340"/>
      <c r="AV36" s="340"/>
      <c r="AW36" s="340"/>
      <c r="AX36" s="340"/>
      <c r="AY36" s="340"/>
      <c r="AZ36" s="340"/>
      <c r="BA36" s="340"/>
      <c r="BB36" s="340"/>
      <c r="BC36" s="340"/>
      <c r="BD36" s="340"/>
      <c r="BE36" s="340"/>
      <c r="BF36" s="340"/>
      <c r="BG36" s="340"/>
      <c r="BH36" s="340"/>
      <c r="BI36" s="340"/>
      <c r="BJ36" s="340"/>
      <c r="BK36" s="340"/>
      <c r="BL36" s="341"/>
    </row>
    <row r="37" spans="1:64">
      <c r="A37" s="298"/>
      <c r="B37" s="299"/>
      <c r="C37" s="300"/>
      <c r="D37" s="298"/>
      <c r="E37" s="299"/>
      <c r="F37" s="299"/>
      <c r="G37" s="299"/>
      <c r="H37" s="299"/>
      <c r="I37" s="300"/>
      <c r="J37" s="381"/>
      <c r="K37" s="382"/>
      <c r="L37" s="381"/>
      <c r="M37" s="324"/>
      <c r="N37" s="325"/>
      <c r="O37" s="325"/>
      <c r="P37" s="325"/>
      <c r="Q37" s="326"/>
      <c r="R37" s="382"/>
      <c r="S37" s="317"/>
      <c r="T37" s="320"/>
      <c r="U37" s="320"/>
      <c r="V37" s="320"/>
      <c r="W37" s="320"/>
      <c r="X37" s="320"/>
      <c r="Y37" s="319"/>
      <c r="Z37" s="382"/>
      <c r="AA37" s="320"/>
      <c r="AB37" s="320"/>
      <c r="AC37" s="320"/>
      <c r="AD37" s="320"/>
      <c r="AE37" s="320"/>
      <c r="AF37" s="320"/>
      <c r="AG37" s="319"/>
      <c r="AH37" s="382"/>
      <c r="AI37" s="301"/>
      <c r="AJ37" s="302"/>
      <c r="AK37" s="302"/>
      <c r="AL37" s="302"/>
      <c r="AM37" s="302"/>
      <c r="AN37" s="302"/>
      <c r="AO37" s="302"/>
      <c r="AP37" s="302"/>
      <c r="AQ37" s="303"/>
      <c r="AR37" s="382"/>
      <c r="AS37" s="339"/>
      <c r="AT37" s="340"/>
      <c r="AU37" s="340"/>
      <c r="AV37" s="340"/>
      <c r="AW37" s="340"/>
      <c r="AX37" s="340"/>
      <c r="AY37" s="340"/>
      <c r="AZ37" s="340"/>
      <c r="BA37" s="340"/>
      <c r="BB37" s="340"/>
      <c r="BC37" s="340"/>
      <c r="BD37" s="340"/>
      <c r="BE37" s="340"/>
      <c r="BF37" s="340"/>
      <c r="BG37" s="340"/>
      <c r="BH37" s="340"/>
      <c r="BI37" s="340"/>
      <c r="BJ37" s="340"/>
      <c r="BK37" s="340"/>
      <c r="BL37" s="341"/>
    </row>
    <row r="38" spans="1:64" ht="15.75">
      <c r="A38" s="355">
        <f>AI29</f>
        <v>6686400</v>
      </c>
      <c r="B38" s="356"/>
      <c r="C38" s="356"/>
      <c r="D38" s="356"/>
      <c r="E38" s="356"/>
      <c r="F38" s="356"/>
      <c r="G38" s="356"/>
      <c r="H38" s="356"/>
      <c r="I38" s="356"/>
      <c r="J38" s="356"/>
      <c r="K38" s="356"/>
      <c r="L38" s="356"/>
      <c r="M38" s="357"/>
      <c r="N38" s="32"/>
      <c r="O38" s="32"/>
      <c r="P38" s="32"/>
      <c r="Q38" s="32"/>
      <c r="R38" s="32"/>
      <c r="S38" s="349"/>
      <c r="T38" s="349"/>
      <c r="U38" s="349"/>
      <c r="V38" s="349"/>
      <c r="W38" s="349"/>
      <c r="X38" s="349"/>
      <c r="Y38" s="349"/>
      <c r="Z38" s="32"/>
      <c r="AA38" s="33"/>
      <c r="AB38" s="1" t="s">
        <v>59</v>
      </c>
      <c r="AC38" s="2"/>
      <c r="AD38" s="2"/>
      <c r="AE38" s="2"/>
      <c r="AF38" s="2"/>
      <c r="AG38" s="2"/>
      <c r="AH38" s="2"/>
      <c r="AI38" s="361"/>
      <c r="AJ38" s="361"/>
      <c r="AK38" s="361"/>
      <c r="AL38" s="361"/>
      <c r="AM38" s="361"/>
      <c r="AN38" s="361"/>
      <c r="AO38" s="361"/>
      <c r="AP38" s="361"/>
      <c r="AQ38" s="361"/>
      <c r="AR38" s="2"/>
      <c r="AS38" s="2"/>
      <c r="AT38" s="2"/>
      <c r="AU38" s="2"/>
      <c r="AV38" s="2"/>
      <c r="AW38" s="2"/>
      <c r="AX38" s="2"/>
      <c r="AY38" s="2"/>
      <c r="AZ38" s="2"/>
      <c r="BA38" s="2"/>
      <c r="BB38" s="2"/>
      <c r="BC38" s="2"/>
      <c r="BD38" s="2"/>
      <c r="BE38" s="2"/>
      <c r="BF38" s="2"/>
      <c r="BG38" s="2"/>
      <c r="BH38" s="2"/>
      <c r="BI38" s="2"/>
      <c r="BJ38" s="2"/>
      <c r="BK38" s="2"/>
      <c r="BL38" s="3"/>
    </row>
    <row r="39" spans="1:64" ht="7.5" customHeight="1">
      <c r="A39" s="358"/>
      <c r="B39" s="359"/>
      <c r="C39" s="359"/>
      <c r="D39" s="359"/>
      <c r="E39" s="359"/>
      <c r="F39" s="359"/>
      <c r="G39" s="359"/>
      <c r="H39" s="359"/>
      <c r="I39" s="359"/>
      <c r="J39" s="359"/>
      <c r="K39" s="359"/>
      <c r="L39" s="359"/>
      <c r="M39" s="360"/>
      <c r="N39" s="34"/>
      <c r="O39" s="34"/>
      <c r="P39" s="34"/>
      <c r="Q39" s="34"/>
      <c r="R39" s="34"/>
      <c r="S39" s="34"/>
      <c r="T39" s="34"/>
      <c r="U39" s="34"/>
      <c r="V39" s="34"/>
      <c r="W39" s="34"/>
      <c r="X39" s="34"/>
      <c r="Y39" s="34"/>
      <c r="Z39" s="34"/>
      <c r="AA39" s="35"/>
      <c r="AB39" s="36"/>
      <c r="AC39" s="8"/>
      <c r="AD39" s="8"/>
      <c r="AE39" s="8"/>
      <c r="AF39" s="8"/>
      <c r="AG39" s="8"/>
      <c r="AH39" s="8"/>
      <c r="AI39" s="284"/>
      <c r="AJ39" s="284"/>
      <c r="AK39" s="284"/>
      <c r="AL39" s="284"/>
      <c r="AM39" s="284"/>
      <c r="AN39" s="284"/>
      <c r="AO39" s="284"/>
      <c r="AP39" s="284"/>
      <c r="AQ39" s="284"/>
      <c r="AR39" s="8"/>
      <c r="AS39" s="8"/>
      <c r="AT39" s="8"/>
      <c r="AU39" s="8"/>
      <c r="AV39" s="8"/>
      <c r="AW39" s="8"/>
      <c r="AX39" s="8"/>
      <c r="AY39" s="8"/>
      <c r="AZ39" s="8"/>
      <c r="BA39" s="8"/>
      <c r="BB39" s="8"/>
      <c r="BC39" s="8"/>
      <c r="BD39" s="8"/>
      <c r="BE39" s="8"/>
      <c r="BF39" s="8"/>
      <c r="BG39" s="8"/>
      <c r="BH39" s="8"/>
      <c r="BI39" s="8"/>
      <c r="BJ39" s="8"/>
      <c r="BK39" s="8"/>
      <c r="BL39" s="9"/>
    </row>
    <row r="40" spans="1:64" ht="15.75">
      <c r="A40" s="37"/>
      <c r="B40" s="32"/>
      <c r="C40" s="32"/>
      <c r="D40" s="32"/>
      <c r="E40" s="32"/>
      <c r="F40" s="32"/>
      <c r="G40" s="32"/>
      <c r="H40" s="32"/>
      <c r="I40" s="32"/>
      <c r="J40" s="32"/>
      <c r="K40" s="32"/>
      <c r="L40" s="32"/>
      <c r="M40" s="33"/>
      <c r="N40" s="38"/>
      <c r="O40" s="38"/>
      <c r="P40" s="38"/>
      <c r="Q40" s="38"/>
      <c r="R40" s="38"/>
      <c r="S40" s="38"/>
      <c r="T40" s="38"/>
      <c r="U40" s="38"/>
      <c r="V40" s="38"/>
      <c r="W40" s="38"/>
      <c r="X40" s="38"/>
      <c r="Y40" s="38"/>
      <c r="Z40" s="38"/>
      <c r="AA40" s="39"/>
      <c r="AB40" s="362"/>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row>
    <row r="41" spans="1:64" ht="7.5" customHeight="1">
      <c r="A41" s="40"/>
      <c r="B41" s="34"/>
      <c r="C41" s="34"/>
      <c r="D41" s="34"/>
      <c r="E41" s="34"/>
      <c r="F41" s="34"/>
      <c r="G41" s="34"/>
      <c r="H41" s="34"/>
      <c r="I41" s="34"/>
      <c r="J41" s="34"/>
      <c r="K41" s="34"/>
      <c r="L41" s="34"/>
      <c r="M41" s="35"/>
      <c r="N41" s="34"/>
      <c r="O41" s="34"/>
      <c r="P41" s="34"/>
      <c r="Q41" s="34"/>
      <c r="R41" s="34"/>
      <c r="S41" s="34"/>
      <c r="T41" s="34"/>
      <c r="U41" s="34"/>
      <c r="V41" s="34"/>
      <c r="W41" s="34"/>
      <c r="X41" s="34"/>
      <c r="Y41" s="34"/>
      <c r="Z41" s="34"/>
      <c r="AA41" s="35"/>
      <c r="AB41" s="362"/>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row>
    <row r="42" spans="1:64" ht="15.75">
      <c r="A42" s="37"/>
      <c r="B42" s="32"/>
      <c r="C42" s="32"/>
      <c r="D42" s="32"/>
      <c r="E42" s="41"/>
      <c r="F42" s="41"/>
      <c r="G42" s="41"/>
      <c r="H42" s="41"/>
      <c r="I42" s="41"/>
      <c r="J42" s="41"/>
      <c r="K42" s="41"/>
      <c r="L42" s="41"/>
      <c r="M42" s="42"/>
      <c r="N42" s="43"/>
      <c r="O42" s="43"/>
      <c r="P42" s="43"/>
      <c r="Q42" s="43"/>
      <c r="R42" s="43"/>
      <c r="S42" s="43"/>
      <c r="T42" s="43"/>
      <c r="U42" s="43"/>
      <c r="V42" s="43"/>
      <c r="W42" s="43"/>
      <c r="X42" s="38"/>
      <c r="Y42" s="38"/>
      <c r="Z42" s="38"/>
      <c r="AA42" s="39"/>
      <c r="AB42" s="363"/>
      <c r="AC42" s="363"/>
      <c r="AD42" s="363"/>
      <c r="AE42" s="363"/>
      <c r="AF42" s="363"/>
      <c r="AG42" s="363"/>
      <c r="AH42" s="363"/>
      <c r="AI42" s="363"/>
      <c r="AJ42" s="363"/>
      <c r="AK42" s="363"/>
      <c r="AL42" s="363"/>
      <c r="AM42" s="363"/>
      <c r="AN42" s="363"/>
      <c r="AO42" s="363"/>
      <c r="AP42" s="363"/>
      <c r="AQ42" s="363"/>
      <c r="AR42" s="363"/>
      <c r="AS42" s="363"/>
      <c r="AT42" s="363"/>
      <c r="AU42" s="363"/>
      <c r="AV42" s="363"/>
      <c r="AW42" s="363"/>
      <c r="AX42" s="363"/>
      <c r="AY42" s="363"/>
      <c r="AZ42" s="363"/>
      <c r="BA42" s="363"/>
      <c r="BB42" s="363"/>
      <c r="BC42" s="363"/>
      <c r="BD42" s="363"/>
      <c r="BE42" s="363"/>
      <c r="BF42" s="363"/>
      <c r="BG42" s="363"/>
      <c r="BH42" s="363"/>
      <c r="BI42" s="363"/>
      <c r="BJ42" s="363"/>
      <c r="BK42" s="363"/>
      <c r="BL42" s="363"/>
    </row>
    <row r="43" spans="1:64" ht="7.5" customHeight="1">
      <c r="A43" s="40"/>
      <c r="B43" s="34"/>
      <c r="C43" s="34"/>
      <c r="D43" s="34"/>
      <c r="E43" s="34"/>
      <c r="F43" s="34"/>
      <c r="G43" s="34"/>
      <c r="H43" s="34"/>
      <c r="I43" s="34"/>
      <c r="J43" s="34"/>
      <c r="K43" s="34"/>
      <c r="L43" s="34"/>
      <c r="M43" s="35"/>
      <c r="N43" s="34"/>
      <c r="O43" s="34"/>
      <c r="P43" s="34"/>
      <c r="Q43" s="34"/>
      <c r="R43" s="34"/>
      <c r="S43" s="34"/>
      <c r="T43" s="34"/>
      <c r="U43" s="34"/>
      <c r="V43" s="34"/>
      <c r="W43" s="34"/>
      <c r="X43" s="34"/>
      <c r="Y43" s="34"/>
      <c r="Z43" s="34"/>
      <c r="AA43" s="35"/>
      <c r="AB43" s="363"/>
      <c r="AC43" s="363"/>
      <c r="AD43" s="363"/>
      <c r="AE43" s="363"/>
      <c r="AF43" s="363"/>
      <c r="AG43" s="363"/>
      <c r="AH43" s="363"/>
      <c r="AI43" s="363"/>
      <c r="AJ43" s="363"/>
      <c r="AK43" s="363"/>
      <c r="AL43" s="363"/>
      <c r="AM43" s="363"/>
      <c r="AN43" s="363"/>
      <c r="AO43" s="363"/>
      <c r="AP43" s="363"/>
      <c r="AQ43" s="363"/>
      <c r="AR43" s="363"/>
      <c r="AS43" s="363"/>
      <c r="AT43" s="363"/>
      <c r="AU43" s="363"/>
      <c r="AV43" s="363"/>
      <c r="AW43" s="363"/>
      <c r="AX43" s="363"/>
      <c r="AY43" s="363"/>
      <c r="AZ43" s="363"/>
      <c r="BA43" s="363"/>
      <c r="BB43" s="363"/>
      <c r="BC43" s="363"/>
      <c r="BD43" s="363"/>
      <c r="BE43" s="363"/>
      <c r="BF43" s="363"/>
      <c r="BG43" s="363"/>
      <c r="BH43" s="363"/>
      <c r="BI43" s="363"/>
      <c r="BJ43" s="363"/>
      <c r="BK43" s="363"/>
      <c r="BL43" s="363"/>
    </row>
    <row r="44" spans="1:64" ht="15" customHeight="1">
      <c r="A44" s="37"/>
      <c r="B44" s="32"/>
      <c r="C44" s="32"/>
      <c r="D44" s="32"/>
      <c r="E44" s="32"/>
      <c r="F44" s="32"/>
      <c r="G44" s="32"/>
      <c r="H44" s="32"/>
      <c r="I44" s="32"/>
      <c r="J44" s="32"/>
      <c r="K44" s="32"/>
      <c r="L44" s="32"/>
      <c r="M44" s="33"/>
      <c r="N44" s="32"/>
      <c r="O44" s="32"/>
      <c r="P44" s="32"/>
      <c r="Q44" s="32"/>
      <c r="R44" s="32"/>
      <c r="S44" s="32"/>
      <c r="T44" s="32"/>
      <c r="U44" s="32"/>
      <c r="V44" s="32"/>
      <c r="W44" s="32"/>
      <c r="X44" s="32"/>
      <c r="Y44" s="32"/>
      <c r="Z44" s="32"/>
      <c r="AA44" s="33"/>
      <c r="AB44" s="364" t="s">
        <v>60</v>
      </c>
      <c r="AC44" s="365"/>
      <c r="AD44" s="365"/>
      <c r="AE44" s="365"/>
      <c r="AF44" s="365"/>
      <c r="AG44" s="365"/>
      <c r="AH44" s="365"/>
      <c r="AI44" s="365"/>
      <c r="AJ44" s="365"/>
      <c r="AK44" s="365"/>
      <c r="AL44" s="365"/>
      <c r="AM44" s="365"/>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5"/>
      <c r="BK44" s="365"/>
      <c r="BL44" s="366"/>
    </row>
    <row r="45" spans="1:64" ht="7.5" customHeight="1">
      <c r="A45" s="40"/>
      <c r="B45" s="34"/>
      <c r="C45" s="34"/>
      <c r="D45" s="34"/>
      <c r="E45" s="34"/>
      <c r="F45" s="34"/>
      <c r="G45" s="34"/>
      <c r="H45" s="34"/>
      <c r="I45" s="34"/>
      <c r="J45" s="34"/>
      <c r="K45" s="34"/>
      <c r="L45" s="34"/>
      <c r="M45" s="35"/>
      <c r="N45" s="34"/>
      <c r="O45" s="34"/>
      <c r="P45" s="34"/>
      <c r="Q45" s="34"/>
      <c r="R45" s="34"/>
      <c r="S45" s="34"/>
      <c r="T45" s="34"/>
      <c r="U45" s="34"/>
      <c r="V45" s="34"/>
      <c r="W45" s="34"/>
      <c r="X45" s="34"/>
      <c r="Y45" s="34"/>
      <c r="Z45" s="34"/>
      <c r="AA45" s="35"/>
      <c r="AB45" s="367"/>
      <c r="AC45" s="368"/>
      <c r="AD45" s="368"/>
      <c r="AE45" s="368"/>
      <c r="AF45" s="368"/>
      <c r="AG45" s="368"/>
      <c r="AH45" s="368"/>
      <c r="AI45" s="368"/>
      <c r="AJ45" s="368"/>
      <c r="AK45" s="368"/>
      <c r="AL45" s="368"/>
      <c r="AM45" s="368"/>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8"/>
      <c r="BK45" s="368"/>
      <c r="BL45" s="369"/>
    </row>
    <row r="46" spans="1:64" ht="15.75">
      <c r="A46" s="389">
        <f>'1'!A46</f>
        <v>1052092</v>
      </c>
      <c r="B46" s="390"/>
      <c r="C46" s="390"/>
      <c r="D46" s="390"/>
      <c r="E46" s="390"/>
      <c r="F46" s="390"/>
      <c r="G46" s="390"/>
      <c r="H46" s="390"/>
      <c r="I46" s="390"/>
      <c r="J46" s="390"/>
      <c r="K46" s="390"/>
      <c r="L46" s="390"/>
      <c r="M46" s="391"/>
      <c r="N46" s="32"/>
      <c r="O46" s="32"/>
      <c r="P46" s="32"/>
      <c r="Q46" s="32"/>
      <c r="R46" s="32"/>
      <c r="S46" s="32"/>
      <c r="T46" s="32"/>
      <c r="U46" s="32"/>
      <c r="V46" s="32"/>
      <c r="W46" s="32"/>
      <c r="X46" s="32"/>
      <c r="Y46" s="32"/>
      <c r="Z46" s="32"/>
      <c r="AA46" s="33"/>
      <c r="AB46" s="395" t="str">
        <f>A3</f>
        <v>PT. NUR INFINIT INDOALEA GLOBAL</v>
      </c>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396"/>
      <c r="BF46" s="396"/>
      <c r="BG46" s="396"/>
      <c r="BH46" s="396"/>
      <c r="BI46" s="396"/>
      <c r="BJ46" s="396"/>
      <c r="BK46" s="396"/>
      <c r="BL46" s="397"/>
    </row>
    <row r="47" spans="1:64" ht="7.5" customHeight="1">
      <c r="A47" s="392"/>
      <c r="B47" s="393"/>
      <c r="C47" s="393"/>
      <c r="D47" s="393"/>
      <c r="E47" s="393"/>
      <c r="F47" s="393"/>
      <c r="G47" s="393"/>
      <c r="H47" s="393"/>
      <c r="I47" s="393"/>
      <c r="J47" s="393"/>
      <c r="K47" s="393"/>
      <c r="L47" s="393"/>
      <c r="M47" s="394"/>
      <c r="N47" s="34"/>
      <c r="O47" s="34"/>
      <c r="P47" s="34"/>
      <c r="Q47" s="34"/>
      <c r="R47" s="34"/>
      <c r="S47" s="34"/>
      <c r="T47" s="34"/>
      <c r="U47" s="34"/>
      <c r="V47" s="34"/>
      <c r="W47" s="34"/>
      <c r="X47" s="34"/>
      <c r="Y47" s="34"/>
      <c r="Z47" s="34"/>
      <c r="AA47" s="35"/>
      <c r="AB47" s="398"/>
      <c r="AC47" s="399"/>
      <c r="AD47" s="399"/>
      <c r="AE47" s="399"/>
      <c r="AF47" s="399"/>
      <c r="AG47" s="399"/>
      <c r="AH47" s="399"/>
      <c r="AI47" s="399"/>
      <c r="AJ47" s="399"/>
      <c r="AK47" s="399"/>
      <c r="AL47" s="399"/>
      <c r="AM47" s="399"/>
      <c r="AN47" s="399"/>
      <c r="AO47" s="399"/>
      <c r="AP47" s="399"/>
      <c r="AQ47" s="399"/>
      <c r="AR47" s="399"/>
      <c r="AS47" s="399"/>
      <c r="AT47" s="399"/>
      <c r="AU47" s="399"/>
      <c r="AV47" s="399"/>
      <c r="AW47" s="399"/>
      <c r="AX47" s="399"/>
      <c r="AY47" s="399"/>
      <c r="AZ47" s="399"/>
      <c r="BA47" s="399"/>
      <c r="BB47" s="399"/>
      <c r="BC47" s="399"/>
      <c r="BD47" s="399"/>
      <c r="BE47" s="399"/>
      <c r="BF47" s="399"/>
      <c r="BG47" s="399"/>
      <c r="BH47" s="399"/>
      <c r="BI47" s="399"/>
      <c r="BJ47" s="399"/>
      <c r="BK47" s="399"/>
      <c r="BL47" s="400"/>
    </row>
    <row r="48" spans="1:64" ht="15.75">
      <c r="A48" s="44"/>
      <c r="B48" s="45"/>
      <c r="C48" s="45"/>
      <c r="D48" s="45"/>
      <c r="E48" s="46"/>
      <c r="F48" s="46"/>
      <c r="G48" s="46"/>
      <c r="H48" s="46"/>
      <c r="I48" s="46"/>
      <c r="J48" s="46"/>
      <c r="K48" s="46"/>
      <c r="L48" s="46"/>
      <c r="M48" s="47"/>
      <c r="N48" s="48"/>
      <c r="O48" s="46"/>
      <c r="P48" s="46"/>
      <c r="Q48" s="46"/>
      <c r="R48" s="46"/>
      <c r="S48" s="46"/>
      <c r="T48" s="46"/>
      <c r="U48" s="46"/>
      <c r="V48" s="46"/>
      <c r="W48" s="46"/>
      <c r="X48" s="45"/>
      <c r="Y48" s="45"/>
      <c r="Z48" s="45"/>
      <c r="AA48" s="45"/>
      <c r="AB48" s="350" t="s">
        <v>61</v>
      </c>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1"/>
      <c r="BL48" s="352"/>
    </row>
    <row r="49" spans="1:64" ht="7.5" customHeight="1">
      <c r="A49" s="49"/>
      <c r="B49" s="50"/>
      <c r="C49" s="50"/>
      <c r="D49" s="50"/>
      <c r="E49" s="50"/>
      <c r="F49" s="50"/>
      <c r="G49" s="50"/>
      <c r="H49" s="50"/>
      <c r="I49" s="50"/>
      <c r="J49" s="50"/>
      <c r="K49" s="50"/>
      <c r="L49" s="50"/>
      <c r="M49" s="51"/>
      <c r="N49" s="49"/>
      <c r="O49" s="50"/>
      <c r="P49" s="50"/>
      <c r="Q49" s="50"/>
      <c r="R49" s="50"/>
      <c r="S49" s="50"/>
      <c r="T49" s="50"/>
      <c r="U49" s="50"/>
      <c r="V49" s="50"/>
      <c r="W49" s="50"/>
      <c r="X49" s="50"/>
      <c r="Y49" s="50"/>
      <c r="Z49" s="50"/>
      <c r="AA49" s="50"/>
      <c r="AB49" s="37"/>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3"/>
    </row>
    <row r="50" spans="1:64" ht="15.75">
      <c r="A50" s="355">
        <f>A38+A46</f>
        <v>7738492</v>
      </c>
      <c r="B50" s="401"/>
      <c r="C50" s="401"/>
      <c r="D50" s="401"/>
      <c r="E50" s="401"/>
      <c r="F50" s="401"/>
      <c r="G50" s="401"/>
      <c r="H50" s="401"/>
      <c r="I50" s="401"/>
      <c r="J50" s="401"/>
      <c r="K50" s="401"/>
      <c r="L50" s="401"/>
      <c r="M50" s="402"/>
      <c r="N50" s="37"/>
      <c r="O50" s="349"/>
      <c r="P50" s="349"/>
      <c r="Q50" s="349"/>
      <c r="R50" s="349"/>
      <c r="S50" s="349"/>
      <c r="T50" s="349"/>
      <c r="U50" s="349"/>
      <c r="V50" s="349"/>
      <c r="W50" s="349"/>
      <c r="X50" s="349"/>
      <c r="Y50" s="349"/>
      <c r="Z50" s="349"/>
      <c r="AA50" s="32"/>
      <c r="AB50" s="52"/>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9"/>
    </row>
    <row r="51" spans="1:64" ht="7.5" customHeight="1">
      <c r="A51" s="403"/>
      <c r="B51" s="404"/>
      <c r="C51" s="404"/>
      <c r="D51" s="404"/>
      <c r="E51" s="404"/>
      <c r="F51" s="404"/>
      <c r="G51" s="404"/>
      <c r="H51" s="404"/>
      <c r="I51" s="404"/>
      <c r="J51" s="404"/>
      <c r="K51" s="404"/>
      <c r="L51" s="404"/>
      <c r="M51" s="405"/>
      <c r="N51" s="40"/>
      <c r="O51" s="34"/>
      <c r="P51" s="34"/>
      <c r="Q51" s="34"/>
      <c r="R51" s="34"/>
      <c r="S51" s="34"/>
      <c r="T51" s="34"/>
      <c r="U51" s="34"/>
      <c r="V51" s="34"/>
      <c r="W51" s="34"/>
      <c r="X51" s="34"/>
      <c r="Y51" s="34"/>
      <c r="Z51" s="34"/>
      <c r="AA51" s="34"/>
      <c r="AB51" s="52"/>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9"/>
    </row>
    <row r="52" spans="1:64" ht="15.75">
      <c r="A52" s="37"/>
      <c r="B52" s="349"/>
      <c r="C52" s="349"/>
      <c r="D52" s="349"/>
      <c r="E52" s="349"/>
      <c r="F52" s="349"/>
      <c r="G52" s="349"/>
      <c r="H52" s="349"/>
      <c r="I52" s="349"/>
      <c r="J52" s="349"/>
      <c r="K52" s="349"/>
      <c r="L52" s="349"/>
      <c r="M52" s="33"/>
      <c r="N52" s="37"/>
      <c r="O52" s="349"/>
      <c r="P52" s="349"/>
      <c r="Q52" s="349"/>
      <c r="R52" s="349"/>
      <c r="S52" s="349"/>
      <c r="T52" s="349"/>
      <c r="U52" s="349"/>
      <c r="V52" s="349"/>
      <c r="W52" s="349"/>
      <c r="X52" s="349"/>
      <c r="Y52" s="349"/>
      <c r="Z52" s="349"/>
      <c r="AA52" s="32"/>
      <c r="AB52" s="58"/>
      <c r="AC52" s="353">
        <f>'1'!AC52</f>
        <v>46171</v>
      </c>
      <c r="AD52" s="354"/>
      <c r="AE52" s="354"/>
      <c r="AF52" s="354"/>
      <c r="AG52" s="354"/>
      <c r="AH52" s="354"/>
      <c r="AI52" s="354"/>
      <c r="AJ52" s="354"/>
      <c r="AK52" s="354"/>
      <c r="AL52" s="55"/>
      <c r="AM52" s="55"/>
      <c r="AN52" s="55"/>
      <c r="AO52" s="354" t="str">
        <f>'1'!AO52</f>
        <v>CGK</v>
      </c>
      <c r="AP52" s="354"/>
      <c r="AQ52" s="354"/>
      <c r="AR52" s="354"/>
      <c r="AS52" s="55"/>
      <c r="AT52" s="55"/>
      <c r="AU52" s="55"/>
      <c r="AV52" s="55"/>
      <c r="AW52" s="55"/>
      <c r="AX52" s="55"/>
      <c r="AY52" s="55"/>
      <c r="AZ52" s="55"/>
      <c r="BA52" s="55"/>
      <c r="BB52" s="55"/>
      <c r="BC52" s="55"/>
      <c r="BD52" s="55"/>
      <c r="BE52" s="55"/>
      <c r="BF52" s="55"/>
      <c r="BG52" s="55"/>
      <c r="BH52" s="55"/>
      <c r="BI52" s="55"/>
      <c r="BJ52" s="55"/>
      <c r="BK52" s="55"/>
      <c r="BL52" s="56"/>
    </row>
    <row r="53" spans="1:64" ht="7.5" customHeight="1">
      <c r="A53" s="40"/>
      <c r="B53" s="34"/>
      <c r="C53" s="34"/>
      <c r="D53" s="34"/>
      <c r="E53" s="34"/>
      <c r="F53" s="34"/>
      <c r="G53" s="34"/>
      <c r="H53" s="34"/>
      <c r="I53" s="34"/>
      <c r="J53" s="34"/>
      <c r="K53" s="34"/>
      <c r="L53" s="34"/>
      <c r="M53" s="35"/>
      <c r="N53" s="40"/>
      <c r="O53" s="34"/>
      <c r="P53" s="34"/>
      <c r="Q53" s="34"/>
      <c r="R53" s="34"/>
      <c r="S53" s="34"/>
      <c r="T53" s="34"/>
      <c r="U53" s="34"/>
      <c r="V53" s="34"/>
      <c r="W53" s="34"/>
      <c r="X53" s="34"/>
      <c r="Y53" s="34"/>
      <c r="Z53" s="34"/>
      <c r="AA53" s="34"/>
      <c r="AB53" s="374" t="s">
        <v>62</v>
      </c>
      <c r="AC53" s="375"/>
      <c r="AD53" s="375"/>
      <c r="AE53" s="375"/>
      <c r="AF53" s="375"/>
      <c r="AG53" s="375"/>
      <c r="AH53" s="30"/>
      <c r="AI53" s="30"/>
      <c r="AJ53" s="375" t="s">
        <v>63</v>
      </c>
      <c r="AK53" s="375"/>
      <c r="AL53" s="375"/>
      <c r="AM53" s="30"/>
      <c r="AN53" s="30"/>
      <c r="AO53" s="30"/>
      <c r="AP53" s="375" t="s">
        <v>64</v>
      </c>
      <c r="AQ53" s="375"/>
      <c r="AR53" s="30"/>
      <c r="AS53" s="30"/>
      <c r="AT53" s="30"/>
      <c r="AU53" s="375" t="s">
        <v>65</v>
      </c>
      <c r="AV53" s="375"/>
      <c r="AW53" s="375"/>
      <c r="AX53" s="375"/>
      <c r="AY53" s="375"/>
      <c r="AZ53" s="30"/>
      <c r="BA53" s="375" t="s">
        <v>66</v>
      </c>
      <c r="BB53" s="375"/>
      <c r="BC53" s="375"/>
      <c r="BD53" s="375"/>
      <c r="BE53" s="375"/>
      <c r="BF53" s="375"/>
      <c r="BG53" s="375"/>
      <c r="BH53" s="375"/>
      <c r="BI53" s="375"/>
      <c r="BJ53" s="375"/>
      <c r="BK53" s="375"/>
      <c r="BL53" s="376"/>
    </row>
    <row r="54" spans="1:64" ht="15.75">
      <c r="A54" s="279" t="s">
        <v>67</v>
      </c>
      <c r="B54" s="277"/>
      <c r="C54" s="277"/>
      <c r="D54" s="277"/>
      <c r="E54" s="277"/>
      <c r="F54" s="277"/>
      <c r="G54" s="277"/>
      <c r="H54" s="277"/>
      <c r="I54" s="277"/>
      <c r="J54" s="277"/>
      <c r="K54" s="277"/>
      <c r="L54" s="277"/>
      <c r="M54" s="278"/>
      <c r="N54" s="37"/>
      <c r="O54" s="349"/>
      <c r="P54" s="349"/>
      <c r="Q54" s="349"/>
      <c r="R54" s="349"/>
      <c r="S54" s="349"/>
      <c r="T54" s="349"/>
      <c r="U54" s="349"/>
      <c r="V54" s="349"/>
      <c r="W54" s="349"/>
      <c r="X54" s="349"/>
      <c r="Y54" s="349"/>
      <c r="Z54" s="349"/>
      <c r="AA54" s="32"/>
      <c r="AB54" s="52"/>
      <c r="AC54" s="377"/>
      <c r="AD54" s="377"/>
      <c r="AE54" s="377"/>
      <c r="AF54" s="377"/>
      <c r="AG54" s="377"/>
      <c r="AH54" s="377"/>
      <c r="AI54" s="377"/>
      <c r="AJ54" s="377"/>
      <c r="AK54" s="377"/>
      <c r="AL54" s="377"/>
      <c r="AM54" s="377"/>
      <c r="AN54" s="39"/>
      <c r="AO54" s="385" t="str">
        <f>AT1</f>
        <v>126-91929552</v>
      </c>
      <c r="AP54" s="386"/>
      <c r="AQ54" s="386"/>
      <c r="AR54" s="386"/>
      <c r="AS54" s="386"/>
      <c r="AT54" s="386"/>
      <c r="AU54" s="386"/>
      <c r="AV54" s="386"/>
      <c r="AW54" s="386"/>
      <c r="AX54" s="386"/>
      <c r="AY54" s="386"/>
      <c r="AZ54" s="386"/>
      <c r="BA54" s="386"/>
      <c r="BB54" s="386"/>
      <c r="BC54" s="386"/>
      <c r="BD54" s="386"/>
      <c r="BE54" s="386"/>
      <c r="BF54" s="386"/>
      <c r="BG54" s="386"/>
      <c r="BH54" s="386"/>
      <c r="BI54" s="386"/>
      <c r="BJ54" s="386"/>
      <c r="BK54" s="386"/>
      <c r="BL54" s="386"/>
    </row>
    <row r="55" spans="1:64" ht="7.5" customHeight="1">
      <c r="A55" s="374"/>
      <c r="B55" s="375"/>
      <c r="C55" s="375"/>
      <c r="D55" s="375"/>
      <c r="E55" s="375"/>
      <c r="F55" s="375"/>
      <c r="G55" s="375"/>
      <c r="H55" s="375"/>
      <c r="I55" s="375"/>
      <c r="J55" s="375"/>
      <c r="K55" s="375"/>
      <c r="L55" s="375"/>
      <c r="M55" s="376"/>
      <c r="N55" s="40"/>
      <c r="O55" s="34"/>
      <c r="P55" s="34"/>
      <c r="Q55" s="34"/>
      <c r="R55" s="34"/>
      <c r="S55" s="34"/>
      <c r="T55" s="34"/>
      <c r="U55" s="34"/>
      <c r="V55" s="34"/>
      <c r="W55" s="34"/>
      <c r="X55" s="34"/>
      <c r="Y55" s="34"/>
      <c r="Z55" s="34"/>
      <c r="AA55" s="34"/>
      <c r="AB55" s="40"/>
      <c r="AC55" s="34"/>
      <c r="AD55" s="34"/>
      <c r="AE55" s="34"/>
      <c r="AF55" s="34"/>
      <c r="AG55" s="34"/>
      <c r="AH55" s="34"/>
      <c r="AI55" s="34"/>
      <c r="AJ55" s="34"/>
      <c r="AK55" s="34"/>
      <c r="AL55" s="34"/>
      <c r="AM55" s="34"/>
      <c r="AN55" s="35"/>
      <c r="AO55" s="387"/>
      <c r="AP55" s="388"/>
      <c r="AQ55" s="388"/>
      <c r="AR55" s="388"/>
      <c r="AS55" s="388"/>
      <c r="AT55" s="388"/>
      <c r="AU55" s="388"/>
      <c r="AV55" s="388"/>
      <c r="AW55" s="388"/>
      <c r="AX55" s="388"/>
      <c r="AY55" s="388"/>
      <c r="AZ55" s="388"/>
      <c r="BA55" s="388"/>
      <c r="BB55" s="388"/>
      <c r="BC55" s="388"/>
      <c r="BD55" s="388"/>
      <c r="BE55" s="388"/>
      <c r="BF55" s="388"/>
      <c r="BG55" s="388"/>
      <c r="BH55" s="388"/>
      <c r="BI55" s="388"/>
      <c r="BJ55" s="388"/>
      <c r="BK55" s="388"/>
      <c r="BL55" s="388"/>
    </row>
    <row r="56" spans="1:64" ht="15.75">
      <c r="A56" s="378" t="s">
        <v>76</v>
      </c>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c r="AT56" s="378"/>
      <c r="AU56" s="378"/>
      <c r="AV56" s="378"/>
      <c r="AW56" s="378"/>
      <c r="AX56" s="378"/>
      <c r="AY56" s="378"/>
      <c r="AZ56" s="378"/>
      <c r="BA56" s="378"/>
      <c r="BB56" s="378"/>
      <c r="BC56" s="378"/>
      <c r="BD56" s="378"/>
      <c r="BE56" s="378"/>
      <c r="BF56" s="378"/>
      <c r="BG56" s="378"/>
      <c r="BH56" s="378"/>
      <c r="BI56" s="378"/>
      <c r="BJ56" s="378"/>
      <c r="BK56" s="378"/>
      <c r="BL56" s="378"/>
    </row>
  </sheetData>
  <mergeCells count="100">
    <mergeCell ref="AH13:BL19"/>
    <mergeCell ref="A14:AG15"/>
    <mergeCell ref="A16:P17"/>
    <mergeCell ref="Q16:AG17"/>
    <mergeCell ref="A4:AG6"/>
    <mergeCell ref="AH7:BL12"/>
    <mergeCell ref="A9:AG12"/>
    <mergeCell ref="AN2:BL5"/>
    <mergeCell ref="A7:S7"/>
    <mergeCell ref="T7:AG7"/>
    <mergeCell ref="A13:AG13"/>
    <mergeCell ref="A18:AG18"/>
    <mergeCell ref="A19:AG19"/>
    <mergeCell ref="AL20:AM21"/>
    <mergeCell ref="A26:BL26"/>
    <mergeCell ref="L27:Q27"/>
    <mergeCell ref="M28:Q28"/>
    <mergeCell ref="AS27:BL28"/>
    <mergeCell ref="A22:Q22"/>
    <mergeCell ref="R22:U22"/>
    <mergeCell ref="V22:AC22"/>
    <mergeCell ref="A20:C21"/>
    <mergeCell ref="V20:X21"/>
    <mergeCell ref="Y20:AA21"/>
    <mergeCell ref="AB20:AD21"/>
    <mergeCell ref="AE20:AG21"/>
    <mergeCell ref="O54:Z54"/>
    <mergeCell ref="AC54:AM54"/>
    <mergeCell ref="A56:BL56"/>
    <mergeCell ref="J27:J28"/>
    <mergeCell ref="J29:J37"/>
    <mergeCell ref="K27:K37"/>
    <mergeCell ref="L29:L37"/>
    <mergeCell ref="R27:R37"/>
    <mergeCell ref="Z27:Z37"/>
    <mergeCell ref="AH27:AH37"/>
    <mergeCell ref="AR27:AR37"/>
    <mergeCell ref="A54:M55"/>
    <mergeCell ref="AO54:BL55"/>
    <mergeCell ref="A46:M47"/>
    <mergeCell ref="AB46:BL47"/>
    <mergeCell ref="A50:M51"/>
    <mergeCell ref="AS29:BL37"/>
    <mergeCell ref="S29:Y37"/>
    <mergeCell ref="A37:C37"/>
    <mergeCell ref="AB53:AG53"/>
    <mergeCell ref="AJ53:AL53"/>
    <mergeCell ref="AP53:AQ53"/>
    <mergeCell ref="AU53:AY53"/>
    <mergeCell ref="BA53:BL53"/>
    <mergeCell ref="S38:Y38"/>
    <mergeCell ref="AB48:BL48"/>
    <mergeCell ref="O50:Z50"/>
    <mergeCell ref="B52:L52"/>
    <mergeCell ref="O52:Z52"/>
    <mergeCell ref="AC52:AK52"/>
    <mergeCell ref="AO52:AR52"/>
    <mergeCell ref="A38:M39"/>
    <mergeCell ref="AI38:AQ39"/>
    <mergeCell ref="AB40:BL41"/>
    <mergeCell ref="AB42:BL43"/>
    <mergeCell ref="AB44:BL45"/>
    <mergeCell ref="A27:C28"/>
    <mergeCell ref="D27:I28"/>
    <mergeCell ref="A23:Q23"/>
    <mergeCell ref="Z23:AG23"/>
    <mergeCell ref="AH23:AQ23"/>
    <mergeCell ref="A24:BL24"/>
    <mergeCell ref="A25:BL25"/>
    <mergeCell ref="S27:Y28"/>
    <mergeCell ref="AR22:BL23"/>
    <mergeCell ref="AI27:AQ28"/>
    <mergeCell ref="D37:I37"/>
    <mergeCell ref="AI37:AQ37"/>
    <mergeCell ref="A29:C36"/>
    <mergeCell ref="D29:I36"/>
    <mergeCell ref="M29:Q37"/>
    <mergeCell ref="AA29:AG37"/>
    <mergeCell ref="AI29:AQ36"/>
    <mergeCell ref="AD22:AG22"/>
    <mergeCell ref="AH22:AQ22"/>
    <mergeCell ref="BE20:BL20"/>
    <mergeCell ref="D21:U21"/>
    <mergeCell ref="AH21:AK21"/>
    <mergeCell ref="AN21:AO21"/>
    <mergeCell ref="AP21:AQ21"/>
    <mergeCell ref="AR21:AS21"/>
    <mergeCell ref="AT21:AU21"/>
    <mergeCell ref="AV21:BD21"/>
    <mergeCell ref="BE21:BL21"/>
    <mergeCell ref="D20:U20"/>
    <mergeCell ref="AH20:AK20"/>
    <mergeCell ref="AN20:AQ20"/>
    <mergeCell ref="AR20:AU20"/>
    <mergeCell ref="AV20:BD20"/>
    <mergeCell ref="A1:C1"/>
    <mergeCell ref="D1:F1"/>
    <mergeCell ref="G1:S1"/>
    <mergeCell ref="AT1:BJ1"/>
    <mergeCell ref="AH6:BL6"/>
  </mergeCells>
  <pageMargins left="0.23958333333333301" right="0.23958333333333301" top="0" bottom="0.75" header="0" footer="0.30972222222222201"/>
  <pageSetup paperSize="9" scale="99" orientation="portrait" verticalDpi="203" r:id="rId1"/>
  <headerFooter>
    <oddFooter>&amp;C&amp;"Arial,Regular"&amp;12</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L59"/>
  <sheetViews>
    <sheetView showGridLines="0" tabSelected="1" view="pageLayout" topLeftCell="A26" zoomScale="82" zoomScaleNormal="100" zoomScalePageLayoutView="82" workbookViewId="0">
      <selection activeCell="A25" sqref="A25:BL25"/>
    </sheetView>
  </sheetViews>
  <sheetFormatPr defaultColWidth="9" defaultRowHeight="15"/>
  <cols>
    <col min="1" max="65" width="1.5703125" customWidth="1"/>
  </cols>
  <sheetData>
    <row r="1" spans="1:64" ht="22.5" customHeight="1">
      <c r="A1" s="264">
        <f>'1'!A1</f>
        <v>126</v>
      </c>
      <c r="B1" s="264"/>
      <c r="C1" s="265"/>
      <c r="D1" s="1133" t="s">
        <v>0</v>
      </c>
      <c r="E1" s="458"/>
      <c r="F1" s="1134"/>
      <c r="G1" s="269">
        <f>'1'!G1</f>
        <v>91929552</v>
      </c>
      <c r="H1" s="270"/>
      <c r="I1" s="270"/>
      <c r="J1" s="270"/>
      <c r="K1" s="270"/>
      <c r="L1" s="270"/>
      <c r="M1" s="270"/>
      <c r="N1" s="270"/>
      <c r="O1" s="270"/>
      <c r="P1" s="270"/>
      <c r="Q1" s="270"/>
      <c r="R1" s="270"/>
      <c r="S1" s="270"/>
      <c r="AT1" s="267" t="str">
        <f>'1'!AT1</f>
        <v>126-91929552</v>
      </c>
      <c r="AU1" s="267"/>
      <c r="AV1" s="267"/>
      <c r="AW1" s="267"/>
      <c r="AX1" s="267"/>
      <c r="AY1" s="267"/>
      <c r="AZ1" s="267"/>
      <c r="BA1" s="267"/>
      <c r="BB1" s="267"/>
      <c r="BC1" s="267"/>
      <c r="BD1" s="267"/>
      <c r="BE1" s="267"/>
      <c r="BF1" s="267"/>
      <c r="BG1" s="267"/>
      <c r="BH1" s="267"/>
      <c r="BI1" s="267"/>
      <c r="BJ1" s="267"/>
    </row>
    <row r="2" spans="1:64">
      <c r="A2" s="1" t="s">
        <v>1</v>
      </c>
      <c r="B2" s="2"/>
      <c r="C2" s="2"/>
      <c r="D2" s="2"/>
      <c r="E2" s="2"/>
      <c r="F2" s="2"/>
      <c r="G2" s="2"/>
      <c r="H2" s="2"/>
      <c r="I2" s="2"/>
      <c r="J2" s="2"/>
      <c r="K2" s="2"/>
      <c r="L2" s="2"/>
      <c r="M2" s="2"/>
      <c r="N2" s="2"/>
      <c r="O2" s="2"/>
      <c r="P2" s="2"/>
      <c r="Q2" s="2"/>
      <c r="R2" s="2"/>
      <c r="S2" s="2"/>
      <c r="T2" s="1" t="s">
        <v>2</v>
      </c>
      <c r="U2" s="2"/>
      <c r="V2" s="2"/>
      <c r="W2" s="2"/>
      <c r="X2" s="2"/>
      <c r="Y2" s="2"/>
      <c r="Z2" s="2"/>
      <c r="AA2" s="2"/>
      <c r="AB2" s="2"/>
      <c r="AC2" s="2"/>
      <c r="AD2" s="2"/>
      <c r="AE2" s="2"/>
      <c r="AF2" s="2"/>
      <c r="AG2" s="3"/>
      <c r="AH2" s="4" t="s">
        <v>3</v>
      </c>
      <c r="AI2" s="4"/>
      <c r="AJ2" s="4"/>
      <c r="AK2" s="4"/>
      <c r="AL2" s="4"/>
      <c r="AM2" s="4"/>
      <c r="AN2" s="449" t="str">
        <f>'1'!AN2</f>
        <v>GARUDA INDONESIA</v>
      </c>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50"/>
    </row>
    <row r="3" spans="1:64" ht="16.5">
      <c r="A3" s="5" t="str">
        <f>'1'!A3</f>
        <v>PT. NUR INFINIT INDOALEA GLOBAL</v>
      </c>
      <c r="B3" s="6"/>
      <c r="C3" s="6"/>
      <c r="D3" s="6"/>
      <c r="E3" s="6"/>
      <c r="F3" s="6"/>
      <c r="G3" s="6"/>
      <c r="H3" s="6"/>
      <c r="I3" s="6"/>
      <c r="J3" s="6"/>
      <c r="K3" s="6"/>
      <c r="L3" s="6"/>
      <c r="M3" s="6"/>
      <c r="N3" s="6"/>
      <c r="O3" s="6"/>
      <c r="P3" s="6"/>
      <c r="Q3" s="6"/>
      <c r="R3" s="6"/>
      <c r="S3" s="6"/>
      <c r="T3" s="7"/>
      <c r="U3" s="8"/>
      <c r="V3" s="8"/>
      <c r="W3" s="8"/>
      <c r="X3" s="8"/>
      <c r="Y3" s="8"/>
      <c r="Z3" s="8"/>
      <c r="AA3" s="8"/>
      <c r="AB3" s="8"/>
      <c r="AC3" s="8"/>
      <c r="AD3" s="8"/>
      <c r="AE3" s="8"/>
      <c r="AF3" s="8"/>
      <c r="AG3" s="9"/>
      <c r="AH3" s="1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2"/>
    </row>
    <row r="4" spans="1:64">
      <c r="A4" s="440"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12"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2"/>
    </row>
    <row r="5" spans="1:64">
      <c r="A5" s="442"/>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441"/>
      <c r="AH5" s="13"/>
      <c r="AI5" s="14"/>
      <c r="AJ5" s="14"/>
      <c r="AK5" s="14"/>
      <c r="AL5" s="14"/>
      <c r="AM5" s="14"/>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4"/>
    </row>
    <row r="6" spans="1:64">
      <c r="A6" s="442"/>
      <c r="B6" s="441"/>
      <c r="C6" s="441"/>
      <c r="D6" s="441"/>
      <c r="E6" s="441"/>
      <c r="F6" s="441"/>
      <c r="G6" s="441"/>
      <c r="H6" s="441"/>
      <c r="I6" s="441"/>
      <c r="J6" s="441"/>
      <c r="K6" s="441"/>
      <c r="L6" s="441"/>
      <c r="M6" s="441"/>
      <c r="N6" s="441"/>
      <c r="O6" s="441"/>
      <c r="P6" s="441"/>
      <c r="Q6" s="441"/>
      <c r="R6" s="441"/>
      <c r="S6" s="441"/>
      <c r="T6" s="443"/>
      <c r="U6" s="443"/>
      <c r="V6" s="443"/>
      <c r="W6" s="443"/>
      <c r="X6" s="443"/>
      <c r="Y6" s="443"/>
      <c r="Z6" s="443"/>
      <c r="AA6" s="443"/>
      <c r="AB6" s="443"/>
      <c r="AC6" s="443"/>
      <c r="AD6" s="443"/>
      <c r="AE6" s="443"/>
      <c r="AF6" s="443"/>
      <c r="AG6" s="444"/>
      <c r="AH6" s="271" t="s">
        <v>9</v>
      </c>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row>
    <row r="7" spans="1:64">
      <c r="A7" s="455" t="s">
        <v>10</v>
      </c>
      <c r="B7" s="337"/>
      <c r="C7" s="337"/>
      <c r="D7" s="337"/>
      <c r="E7" s="337"/>
      <c r="F7" s="337"/>
      <c r="G7" s="337"/>
      <c r="H7" s="337"/>
      <c r="I7" s="337"/>
      <c r="J7" s="337"/>
      <c r="K7" s="337"/>
      <c r="L7" s="337"/>
      <c r="M7" s="337"/>
      <c r="N7" s="337"/>
      <c r="O7" s="337"/>
      <c r="P7" s="337"/>
      <c r="Q7" s="337"/>
      <c r="R7" s="337"/>
      <c r="S7" s="337"/>
      <c r="T7" s="455" t="s">
        <v>11</v>
      </c>
      <c r="U7" s="337"/>
      <c r="V7" s="337"/>
      <c r="W7" s="337"/>
      <c r="X7" s="337"/>
      <c r="Y7" s="337"/>
      <c r="Z7" s="337"/>
      <c r="AA7" s="337"/>
      <c r="AB7" s="337"/>
      <c r="AC7" s="337"/>
      <c r="AD7" s="337"/>
      <c r="AE7" s="337"/>
      <c r="AF7" s="337"/>
      <c r="AG7" s="338"/>
      <c r="AH7" s="445" t="s">
        <v>12</v>
      </c>
      <c r="AI7" s="446"/>
      <c r="AJ7" s="446"/>
      <c r="AK7" s="446"/>
      <c r="AL7" s="446"/>
      <c r="AM7" s="446"/>
      <c r="AN7" s="446"/>
      <c r="AO7" s="446"/>
      <c r="AP7" s="446"/>
      <c r="AQ7" s="446"/>
      <c r="AR7" s="446"/>
      <c r="AS7" s="446"/>
      <c r="AT7" s="446"/>
      <c r="AU7" s="446"/>
      <c r="AV7" s="446"/>
      <c r="AW7" s="446"/>
      <c r="AX7" s="446"/>
      <c r="AY7" s="446"/>
      <c r="AZ7" s="446"/>
      <c r="BA7" s="446"/>
      <c r="BB7" s="446"/>
      <c r="BC7" s="446"/>
      <c r="BD7" s="446"/>
      <c r="BE7" s="446"/>
      <c r="BF7" s="446"/>
      <c r="BG7" s="446"/>
      <c r="BH7" s="446"/>
      <c r="BI7" s="446"/>
      <c r="BJ7" s="446"/>
      <c r="BK7" s="446"/>
      <c r="BL7" s="446"/>
    </row>
    <row r="8" spans="1:64">
      <c r="A8" s="263" t="str">
        <f>'1'!A8</f>
        <v>LINEHAUL EXPRESS SINGAPORE PTE LTD</v>
      </c>
      <c r="B8" s="15"/>
      <c r="C8" s="15"/>
      <c r="D8" s="15"/>
      <c r="E8" s="15"/>
      <c r="F8" s="15"/>
      <c r="G8" s="15"/>
      <c r="H8" s="15"/>
      <c r="I8" s="15"/>
      <c r="J8" s="15"/>
      <c r="K8" s="15"/>
      <c r="L8" s="15"/>
      <c r="M8" s="15"/>
      <c r="N8" s="15"/>
      <c r="O8" s="15"/>
      <c r="P8" s="15"/>
      <c r="Q8" s="15"/>
      <c r="R8" s="15"/>
      <c r="S8" s="15"/>
      <c r="T8" s="7"/>
      <c r="U8" s="8"/>
      <c r="V8" s="8"/>
      <c r="W8" s="8"/>
      <c r="X8" s="8"/>
      <c r="Y8" s="8"/>
      <c r="Z8" s="8"/>
      <c r="AA8" s="8"/>
      <c r="AB8" s="8"/>
      <c r="AC8" s="8"/>
      <c r="AD8" s="8"/>
      <c r="AE8" s="8"/>
      <c r="AF8" s="8"/>
      <c r="AG8" s="9"/>
      <c r="AH8" s="447"/>
      <c r="AI8" s="446"/>
      <c r="AJ8" s="446"/>
      <c r="AK8" s="446"/>
      <c r="AL8" s="446"/>
      <c r="AM8" s="446"/>
      <c r="AN8" s="446"/>
      <c r="AO8" s="446"/>
      <c r="AP8" s="446"/>
      <c r="AQ8" s="446"/>
      <c r="AR8" s="446"/>
      <c r="AS8" s="446"/>
      <c r="AT8" s="446"/>
      <c r="AU8" s="446"/>
      <c r="AV8" s="446"/>
      <c r="AW8" s="446"/>
      <c r="AX8" s="446"/>
      <c r="AY8" s="446"/>
      <c r="AZ8" s="446"/>
      <c r="BA8" s="446"/>
      <c r="BB8" s="446"/>
      <c r="BC8" s="446"/>
      <c r="BD8" s="446"/>
      <c r="BE8" s="446"/>
      <c r="BF8" s="446"/>
      <c r="BG8" s="446"/>
      <c r="BH8" s="446"/>
      <c r="BI8" s="446"/>
      <c r="BJ8" s="446"/>
      <c r="BK8" s="446"/>
      <c r="BL8" s="446"/>
    </row>
    <row r="9" spans="1:64">
      <c r="A9" s="448"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447"/>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row>
    <row r="10" spans="1:64">
      <c r="A10" s="339"/>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447"/>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row>
    <row r="11" spans="1:64">
      <c r="A11" s="339"/>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1"/>
      <c r="AH11" s="447"/>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row>
    <row r="12" spans="1:64">
      <c r="A12" s="339"/>
      <c r="B12" s="340"/>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1"/>
      <c r="AH12" s="447"/>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46"/>
      <c r="BE12" s="446"/>
      <c r="BF12" s="446"/>
      <c r="BG12" s="446"/>
      <c r="BH12" s="446"/>
      <c r="BI12" s="446"/>
      <c r="BJ12" s="446"/>
      <c r="BK12" s="446"/>
      <c r="BL12" s="446"/>
    </row>
    <row r="13" spans="1:64">
      <c r="A13" s="455" t="s">
        <v>15</v>
      </c>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8"/>
      <c r="AH13" s="337" t="s">
        <v>16</v>
      </c>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8"/>
    </row>
    <row r="14" spans="1:64">
      <c r="A14" s="433"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5"/>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431"/>
    </row>
    <row r="15" spans="1:64">
      <c r="A15" s="436"/>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8"/>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431"/>
    </row>
    <row r="16" spans="1:64">
      <c r="A16" s="417" t="s">
        <v>18</v>
      </c>
      <c r="B16" s="417"/>
      <c r="C16" s="417"/>
      <c r="D16" s="417"/>
      <c r="E16" s="417"/>
      <c r="F16" s="417"/>
      <c r="G16" s="417"/>
      <c r="H16" s="417"/>
      <c r="I16" s="417"/>
      <c r="J16" s="417"/>
      <c r="K16" s="417"/>
      <c r="L16" s="417"/>
      <c r="M16" s="417"/>
      <c r="N16" s="417"/>
      <c r="O16" s="417"/>
      <c r="P16" s="417"/>
      <c r="Q16" s="417" t="s">
        <v>19</v>
      </c>
      <c r="R16" s="417"/>
      <c r="S16" s="417"/>
      <c r="T16" s="417"/>
      <c r="U16" s="417"/>
      <c r="V16" s="417"/>
      <c r="W16" s="417"/>
      <c r="X16" s="417"/>
      <c r="Y16" s="417"/>
      <c r="Z16" s="417"/>
      <c r="AA16" s="417"/>
      <c r="AB16" s="417"/>
      <c r="AC16" s="417"/>
      <c r="AD16" s="417"/>
      <c r="AE16" s="417"/>
      <c r="AF16" s="417"/>
      <c r="AG16" s="417"/>
      <c r="AH16" s="335"/>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431"/>
    </row>
    <row r="17" spans="1:64">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335"/>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431"/>
    </row>
    <row r="18" spans="1:64">
      <c r="A18" s="455" t="s">
        <v>20</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8"/>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431"/>
    </row>
    <row r="19" spans="1:64">
      <c r="A19" s="436" t="str">
        <f>'1'!A19</f>
        <v>SOEKARNO-HATTA INTERNATIONAL AIRPORT</v>
      </c>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8"/>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2"/>
      <c r="BK19" s="432"/>
      <c r="BL19" s="416"/>
    </row>
    <row r="20" spans="1:64" ht="15" customHeight="1">
      <c r="A20" s="413" t="str">
        <f>'1'!A20</f>
        <v>SIN</v>
      </c>
      <c r="B20" s="413"/>
      <c r="C20" s="286"/>
      <c r="D20" s="294" t="s">
        <v>23</v>
      </c>
      <c r="E20" s="295"/>
      <c r="F20" s="295"/>
      <c r="G20" s="295"/>
      <c r="H20" s="295"/>
      <c r="I20" s="295"/>
      <c r="J20" s="295"/>
      <c r="K20" s="295"/>
      <c r="L20" s="295"/>
      <c r="M20" s="295"/>
      <c r="N20" s="295"/>
      <c r="O20" s="295"/>
      <c r="P20" s="295"/>
      <c r="Q20" s="295"/>
      <c r="R20" s="295"/>
      <c r="S20" s="295"/>
      <c r="T20" s="295"/>
      <c r="U20" s="296"/>
      <c r="V20" s="416" t="s">
        <v>26</v>
      </c>
      <c r="W20" s="417"/>
      <c r="X20" s="417"/>
      <c r="Y20" s="417" t="s">
        <v>27</v>
      </c>
      <c r="Z20" s="417"/>
      <c r="AA20" s="417"/>
      <c r="AB20" s="417" t="s">
        <v>26</v>
      </c>
      <c r="AC20" s="417"/>
      <c r="AD20" s="417"/>
      <c r="AE20" s="417" t="s">
        <v>27</v>
      </c>
      <c r="AF20" s="417"/>
      <c r="AG20" s="417"/>
      <c r="AH20" s="276" t="s">
        <v>28</v>
      </c>
      <c r="AI20" s="277"/>
      <c r="AJ20" s="277"/>
      <c r="AK20" s="278"/>
      <c r="AL20" s="420" t="s">
        <v>29</v>
      </c>
      <c r="AM20" s="421"/>
      <c r="AN20" s="297" t="s">
        <v>30</v>
      </c>
      <c r="AO20" s="297"/>
      <c r="AP20" s="297"/>
      <c r="AQ20" s="297"/>
      <c r="AR20" s="297" t="s">
        <v>31</v>
      </c>
      <c r="AS20" s="297"/>
      <c r="AT20" s="297"/>
      <c r="AU20" s="297"/>
      <c r="AV20" s="279" t="s">
        <v>32</v>
      </c>
      <c r="AW20" s="280"/>
      <c r="AX20" s="280"/>
      <c r="AY20" s="280"/>
      <c r="AZ20" s="280"/>
      <c r="BA20" s="280"/>
      <c r="BB20" s="280"/>
      <c r="BC20" s="280"/>
      <c r="BD20" s="281"/>
      <c r="BE20" s="279" t="s">
        <v>33</v>
      </c>
      <c r="BF20" s="280"/>
      <c r="BG20" s="280"/>
      <c r="BH20" s="280"/>
      <c r="BI20" s="280"/>
      <c r="BJ20" s="280"/>
      <c r="BK20" s="280"/>
      <c r="BL20" s="281"/>
    </row>
    <row r="21" spans="1:64">
      <c r="A21" s="414"/>
      <c r="B21" s="414"/>
      <c r="C21" s="415"/>
      <c r="D21" s="282" t="str">
        <f>'1'!D21</f>
        <v>GARUDA INDONESIA</v>
      </c>
      <c r="E21" s="283"/>
      <c r="F21" s="283"/>
      <c r="G21" s="283"/>
      <c r="H21" s="283"/>
      <c r="I21" s="283"/>
      <c r="J21" s="283"/>
      <c r="K21" s="283"/>
      <c r="L21" s="283"/>
      <c r="M21" s="283"/>
      <c r="N21" s="283"/>
      <c r="O21" s="283"/>
      <c r="P21" s="283"/>
      <c r="Q21" s="283"/>
      <c r="R21" s="284"/>
      <c r="S21" s="284"/>
      <c r="T21" s="284"/>
      <c r="U21" s="285"/>
      <c r="V21" s="418"/>
      <c r="W21" s="419"/>
      <c r="X21" s="419"/>
      <c r="Y21" s="419"/>
      <c r="Z21" s="419"/>
      <c r="AA21" s="419"/>
      <c r="AB21" s="419"/>
      <c r="AC21" s="419"/>
      <c r="AD21" s="419"/>
      <c r="AE21" s="419"/>
      <c r="AF21" s="419"/>
      <c r="AG21" s="419"/>
      <c r="AH21" s="286" t="str">
        <f>'1'!AH21</f>
        <v>IDR</v>
      </c>
      <c r="AI21" s="287"/>
      <c r="AJ21" s="287"/>
      <c r="AK21" s="288"/>
      <c r="AL21" s="421"/>
      <c r="AM21" s="421"/>
      <c r="AN21" s="289" t="s">
        <v>72</v>
      </c>
      <c r="AO21" s="290"/>
      <c r="AP21" s="289" t="s">
        <v>73</v>
      </c>
      <c r="AQ21" s="290"/>
      <c r="AR21" s="289" t="s">
        <v>72</v>
      </c>
      <c r="AS21" s="290"/>
      <c r="AT21" s="290" t="s">
        <v>36</v>
      </c>
      <c r="AU21" s="290"/>
      <c r="AV21" s="291" t="str">
        <f>'1'!AV21</f>
        <v>NVD</v>
      </c>
      <c r="AW21" s="292"/>
      <c r="AX21" s="292"/>
      <c r="AY21" s="292"/>
      <c r="AZ21" s="292"/>
      <c r="BA21" s="292"/>
      <c r="BB21" s="292"/>
      <c r="BC21" s="292"/>
      <c r="BD21" s="293"/>
      <c r="BE21" s="291" t="str">
        <f>'1'!BE21</f>
        <v>NCV</v>
      </c>
      <c r="BF21" s="292"/>
      <c r="BG21" s="292"/>
      <c r="BH21" s="292"/>
      <c r="BI21" s="292"/>
      <c r="BJ21" s="292"/>
      <c r="BK21" s="292"/>
      <c r="BL21" s="293"/>
    </row>
    <row r="22" spans="1:64">
      <c r="A22" s="428" t="s">
        <v>39</v>
      </c>
      <c r="B22" s="429"/>
      <c r="C22" s="429"/>
      <c r="D22" s="429"/>
      <c r="E22" s="429"/>
      <c r="F22" s="429"/>
      <c r="G22" s="429"/>
      <c r="H22" s="429"/>
      <c r="I22" s="429"/>
      <c r="J22" s="429"/>
      <c r="K22" s="429"/>
      <c r="L22" s="429"/>
      <c r="M22" s="429"/>
      <c r="N22" s="429"/>
      <c r="O22" s="429"/>
      <c r="P22" s="429"/>
      <c r="Q22" s="430"/>
      <c r="R22" s="273" t="s">
        <v>40</v>
      </c>
      <c r="S22" s="273"/>
      <c r="T22" s="273"/>
      <c r="U22" s="273"/>
      <c r="V22" s="273"/>
      <c r="W22" s="273"/>
      <c r="X22" s="273"/>
      <c r="Y22" s="273"/>
      <c r="Z22" s="273"/>
      <c r="AA22" s="273"/>
      <c r="AB22" s="273"/>
      <c r="AC22" s="273"/>
      <c r="AD22" s="273" t="s">
        <v>40</v>
      </c>
      <c r="AE22" s="274"/>
      <c r="AF22" s="274"/>
      <c r="AG22" s="275"/>
      <c r="AH22" s="276" t="s">
        <v>41</v>
      </c>
      <c r="AI22" s="277"/>
      <c r="AJ22" s="277"/>
      <c r="AK22" s="277"/>
      <c r="AL22" s="277"/>
      <c r="AM22" s="277"/>
      <c r="AN22" s="277"/>
      <c r="AO22" s="277"/>
      <c r="AP22" s="277"/>
      <c r="AQ22" s="278"/>
      <c r="AR22" s="407" t="s">
        <v>42</v>
      </c>
      <c r="AS22" s="408"/>
      <c r="AT22" s="408"/>
      <c r="AU22" s="408"/>
      <c r="AV22" s="408"/>
      <c r="AW22" s="408"/>
      <c r="AX22" s="408"/>
      <c r="AY22" s="408"/>
      <c r="AZ22" s="408"/>
      <c r="BA22" s="408"/>
      <c r="BB22" s="408"/>
      <c r="BC22" s="408"/>
      <c r="BD22" s="408"/>
      <c r="BE22" s="408"/>
      <c r="BF22" s="408"/>
      <c r="BG22" s="408"/>
      <c r="BH22" s="408"/>
      <c r="BI22" s="408"/>
      <c r="BJ22" s="408"/>
      <c r="BK22" s="408"/>
      <c r="BL22" s="409"/>
    </row>
    <row r="23" spans="1:64">
      <c r="A23" s="329" t="str">
        <f>'1'!A23</f>
        <v>SINGAPORE</v>
      </c>
      <c r="B23" s="330"/>
      <c r="C23" s="330"/>
      <c r="D23" s="330"/>
      <c r="E23" s="330"/>
      <c r="F23" s="330"/>
      <c r="G23" s="330"/>
      <c r="H23" s="330"/>
      <c r="I23" s="330"/>
      <c r="J23" s="330"/>
      <c r="K23" s="330"/>
      <c r="L23" s="330"/>
      <c r="M23" s="330"/>
      <c r="N23" s="330"/>
      <c r="O23" s="330"/>
      <c r="P23" s="330"/>
      <c r="Q23" s="331"/>
      <c r="R23" s="16" t="str">
        <f>'5'!R23</f>
        <v>GA 824</v>
      </c>
      <c r="S23" s="16"/>
      <c r="T23" s="16"/>
      <c r="U23" s="16"/>
      <c r="V23" s="16"/>
      <c r="W23" s="16"/>
      <c r="X23" s="16"/>
      <c r="Y23" s="17"/>
      <c r="Z23" s="332">
        <f>'5'!Z23</f>
        <v>46171</v>
      </c>
      <c r="AA23" s="333"/>
      <c r="AB23" s="333"/>
      <c r="AC23" s="333"/>
      <c r="AD23" s="333"/>
      <c r="AE23" s="333"/>
      <c r="AF23" s="333"/>
      <c r="AG23" s="334"/>
      <c r="AH23" s="286" t="s">
        <v>45</v>
      </c>
      <c r="AI23" s="287"/>
      <c r="AJ23" s="287"/>
      <c r="AK23" s="287"/>
      <c r="AL23" s="287"/>
      <c r="AM23" s="287"/>
      <c r="AN23" s="287"/>
      <c r="AO23" s="287"/>
      <c r="AP23" s="287"/>
      <c r="AQ23" s="288"/>
      <c r="AR23" s="410"/>
      <c r="AS23" s="411"/>
      <c r="AT23" s="411"/>
      <c r="AU23" s="411"/>
      <c r="AV23" s="411"/>
      <c r="AW23" s="411"/>
      <c r="AX23" s="411"/>
      <c r="AY23" s="411"/>
      <c r="AZ23" s="411"/>
      <c r="BA23" s="411"/>
      <c r="BB23" s="411"/>
      <c r="BC23" s="411"/>
      <c r="BD23" s="411"/>
      <c r="BE23" s="411"/>
      <c r="BF23" s="411"/>
      <c r="BG23" s="411"/>
      <c r="BH23" s="411"/>
      <c r="BI23" s="411"/>
      <c r="BJ23" s="411"/>
      <c r="BK23" s="411"/>
      <c r="BL23" s="412"/>
    </row>
    <row r="24" spans="1:64">
      <c r="A24" s="335" t="s">
        <v>46</v>
      </c>
      <c r="B24" s="336"/>
      <c r="C24" s="336"/>
      <c r="D24" s="336"/>
      <c r="E24" s="336"/>
      <c r="F24" s="336"/>
      <c r="G24" s="336"/>
      <c r="H24" s="336"/>
      <c r="I24" s="336"/>
      <c r="J24" s="336"/>
      <c r="K24" s="336"/>
      <c r="L24" s="336"/>
      <c r="M24" s="336"/>
      <c r="N24" s="336"/>
      <c r="O24" s="336"/>
      <c r="P24" s="336"/>
      <c r="Q24" s="336"/>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8"/>
    </row>
    <row r="25" spans="1:64">
      <c r="A25" s="339"/>
      <c r="B25" s="340"/>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341"/>
    </row>
    <row r="26" spans="1:64">
      <c r="A26" s="422"/>
      <c r="B26" s="423"/>
      <c r="C26" s="423"/>
      <c r="D26" s="423"/>
      <c r="E26" s="423"/>
      <c r="F26" s="423"/>
      <c r="G26" s="423"/>
      <c r="H26" s="423"/>
      <c r="I26" s="423"/>
      <c r="J26" s="423"/>
      <c r="K26" s="423"/>
      <c r="L26" s="423"/>
      <c r="M26" s="423"/>
      <c r="N26" s="423"/>
      <c r="O26" s="423"/>
      <c r="P26" s="423"/>
      <c r="Q26" s="423"/>
      <c r="R26" s="423"/>
      <c r="S26" s="423"/>
      <c r="T26" s="423"/>
      <c r="U26" s="423"/>
      <c r="V26" s="423"/>
      <c r="W26" s="423"/>
      <c r="X26" s="423"/>
      <c r="Y26" s="423"/>
      <c r="Z26" s="423"/>
      <c r="AA26" s="423"/>
      <c r="AB26" s="423"/>
      <c r="AC26" s="423"/>
      <c r="AD26" s="423"/>
      <c r="AE26" s="423"/>
      <c r="AF26" s="423"/>
      <c r="AG26" s="423"/>
      <c r="AH26" s="423"/>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423"/>
      <c r="BE26" s="423"/>
      <c r="BF26" s="423"/>
      <c r="BG26" s="423"/>
      <c r="BH26" s="423"/>
      <c r="BI26" s="423"/>
      <c r="BJ26" s="423"/>
      <c r="BK26" s="423"/>
      <c r="BL26" s="424"/>
    </row>
    <row r="27" spans="1:64" ht="15.75">
      <c r="A27" s="327" t="s">
        <v>47</v>
      </c>
      <c r="B27" s="327"/>
      <c r="C27" s="327"/>
      <c r="D27" s="327" t="s">
        <v>48</v>
      </c>
      <c r="E27" s="327"/>
      <c r="F27" s="327"/>
      <c r="G27" s="327"/>
      <c r="H27" s="327"/>
      <c r="I27" s="327"/>
      <c r="J27" s="379" t="s">
        <v>49</v>
      </c>
      <c r="K27" s="382"/>
      <c r="L27" s="425" t="s">
        <v>50</v>
      </c>
      <c r="M27" s="406"/>
      <c r="N27" s="406"/>
      <c r="O27" s="406"/>
      <c r="P27" s="406"/>
      <c r="Q27" s="406"/>
      <c r="R27" s="382"/>
      <c r="S27" s="406" t="s">
        <v>51</v>
      </c>
      <c r="T27" s="406"/>
      <c r="U27" s="406"/>
      <c r="V27" s="406"/>
      <c r="W27" s="406"/>
      <c r="X27" s="406"/>
      <c r="Y27" s="406"/>
      <c r="Z27" s="382"/>
      <c r="AA27" s="24" t="s">
        <v>52</v>
      </c>
      <c r="AB27" s="25"/>
      <c r="AC27" s="25"/>
      <c r="AD27" s="25"/>
      <c r="AE27" s="25"/>
      <c r="AF27" s="25"/>
      <c r="AG27" s="26"/>
      <c r="AH27" s="384"/>
      <c r="AI27" s="406" t="s">
        <v>53</v>
      </c>
      <c r="AJ27" s="406"/>
      <c r="AK27" s="406"/>
      <c r="AL27" s="406"/>
      <c r="AM27" s="406"/>
      <c r="AN27" s="406"/>
      <c r="AO27" s="406"/>
      <c r="AP27" s="406"/>
      <c r="AQ27" s="406"/>
      <c r="AR27" s="382"/>
      <c r="AS27" s="327" t="s">
        <v>54</v>
      </c>
      <c r="AT27" s="406"/>
      <c r="AU27" s="406"/>
      <c r="AV27" s="406"/>
      <c r="AW27" s="406"/>
      <c r="AX27" s="406"/>
      <c r="AY27" s="406"/>
      <c r="AZ27" s="406"/>
      <c r="BA27" s="406"/>
      <c r="BB27" s="406"/>
      <c r="BC27" s="406"/>
      <c r="BD27" s="406"/>
      <c r="BE27" s="406"/>
      <c r="BF27" s="406"/>
      <c r="BG27" s="406"/>
      <c r="BH27" s="406"/>
      <c r="BI27" s="406"/>
      <c r="BJ27" s="406"/>
      <c r="BK27" s="406"/>
      <c r="BL27" s="406"/>
    </row>
    <row r="28" spans="1:64" ht="21" customHeight="1">
      <c r="A28" s="328"/>
      <c r="B28" s="328"/>
      <c r="C28" s="328"/>
      <c r="D28" s="328"/>
      <c r="E28" s="328"/>
      <c r="F28" s="328"/>
      <c r="G28" s="328"/>
      <c r="H28" s="328"/>
      <c r="I28" s="328"/>
      <c r="J28" s="380"/>
      <c r="K28" s="383"/>
      <c r="L28" s="27"/>
      <c r="M28" s="426" t="s">
        <v>55</v>
      </c>
      <c r="N28" s="426"/>
      <c r="O28" s="426"/>
      <c r="P28" s="426"/>
      <c r="Q28" s="427"/>
      <c r="R28" s="382"/>
      <c r="S28" s="297"/>
      <c r="T28" s="297"/>
      <c r="U28" s="297"/>
      <c r="V28" s="297"/>
      <c r="W28" s="297"/>
      <c r="X28" s="297"/>
      <c r="Y28" s="297"/>
      <c r="Z28" s="382"/>
      <c r="AA28" s="28"/>
      <c r="AB28" s="29"/>
      <c r="AC28" s="29"/>
      <c r="AD28" s="29"/>
      <c r="AE28" s="30" t="s">
        <v>56</v>
      </c>
      <c r="AF28" s="29"/>
      <c r="AG28" s="31"/>
      <c r="AH28" s="384"/>
      <c r="AI28" s="297"/>
      <c r="AJ28" s="297"/>
      <c r="AK28" s="297"/>
      <c r="AL28" s="297"/>
      <c r="AM28" s="297"/>
      <c r="AN28" s="297"/>
      <c r="AO28" s="297"/>
      <c r="AP28" s="297"/>
      <c r="AQ28" s="297"/>
      <c r="AR28" s="382"/>
      <c r="AS28" s="297"/>
      <c r="AT28" s="297"/>
      <c r="AU28" s="297"/>
      <c r="AV28" s="297"/>
      <c r="AW28" s="297"/>
      <c r="AX28" s="297"/>
      <c r="AY28" s="297"/>
      <c r="AZ28" s="297"/>
      <c r="BA28" s="297"/>
      <c r="BB28" s="297"/>
      <c r="BC28" s="297"/>
      <c r="BD28" s="297"/>
      <c r="BE28" s="297"/>
      <c r="BF28" s="297"/>
      <c r="BG28" s="297"/>
      <c r="BH28" s="297"/>
      <c r="BI28" s="297"/>
      <c r="BJ28" s="297"/>
      <c r="BK28" s="297"/>
      <c r="BL28" s="297"/>
    </row>
    <row r="29" spans="1:64">
      <c r="A29" s="304">
        <f>'1'!A29</f>
        <v>23</v>
      </c>
      <c r="B29" s="305"/>
      <c r="C29" s="306"/>
      <c r="D29" s="314">
        <f>'1'!D29</f>
        <v>398</v>
      </c>
      <c r="E29" s="315"/>
      <c r="F29" s="315"/>
      <c r="G29" s="315"/>
      <c r="H29" s="315"/>
      <c r="I29" s="316"/>
      <c r="J29" s="381" t="s">
        <v>57</v>
      </c>
      <c r="K29" s="382"/>
      <c r="L29" s="381" t="s">
        <v>58</v>
      </c>
      <c r="M29" s="324"/>
      <c r="N29" s="325"/>
      <c r="O29" s="325"/>
      <c r="P29" s="325"/>
      <c r="Q29" s="326"/>
      <c r="R29" s="382"/>
      <c r="S29" s="314">
        <f>'1'!S29</f>
        <v>398</v>
      </c>
      <c r="T29" s="315"/>
      <c r="U29" s="315"/>
      <c r="V29" s="315"/>
      <c r="W29" s="315"/>
      <c r="X29" s="315"/>
      <c r="Y29" s="316"/>
      <c r="Z29" s="382"/>
      <c r="AA29" s="320">
        <f>'1'!AA29</f>
        <v>16800</v>
      </c>
      <c r="AB29" s="320"/>
      <c r="AC29" s="320"/>
      <c r="AD29" s="320"/>
      <c r="AE29" s="320"/>
      <c r="AF29" s="320"/>
      <c r="AG29" s="319"/>
      <c r="AH29" s="382"/>
      <c r="AI29" s="342">
        <f>'1'!AI29</f>
        <v>6686400</v>
      </c>
      <c r="AJ29" s="343"/>
      <c r="AK29" s="343"/>
      <c r="AL29" s="343"/>
      <c r="AM29" s="343"/>
      <c r="AN29" s="343"/>
      <c r="AO29" s="343"/>
      <c r="AP29" s="343"/>
      <c r="AQ29" s="344"/>
      <c r="AR29" s="382"/>
      <c r="AS29" s="1347">
        <f>'5'!AS29</f>
        <v>0</v>
      </c>
      <c r="AT29" s="371"/>
      <c r="AU29" s="371"/>
      <c r="AV29" s="371"/>
      <c r="AW29" s="371"/>
      <c r="AX29" s="371"/>
      <c r="AY29" s="371"/>
      <c r="AZ29" s="371"/>
      <c r="BA29" s="371"/>
      <c r="BB29" s="371"/>
      <c r="BC29" s="371"/>
      <c r="BD29" s="371"/>
      <c r="BE29" s="371"/>
      <c r="BF29" s="371"/>
      <c r="BG29" s="371"/>
      <c r="BH29" s="371"/>
      <c r="BI29" s="371"/>
      <c r="BJ29" s="371"/>
      <c r="BK29" s="371"/>
      <c r="BL29" s="372"/>
    </row>
    <row r="30" spans="1:64">
      <c r="A30" s="307"/>
      <c r="B30" s="308"/>
      <c r="C30" s="309"/>
      <c r="D30" s="317"/>
      <c r="E30" s="318"/>
      <c r="F30" s="318"/>
      <c r="G30" s="318"/>
      <c r="H30" s="318"/>
      <c r="I30" s="319"/>
      <c r="J30" s="381"/>
      <c r="K30" s="382"/>
      <c r="L30" s="381"/>
      <c r="M30" s="324"/>
      <c r="N30" s="325"/>
      <c r="O30" s="325"/>
      <c r="P30" s="325"/>
      <c r="Q30" s="326"/>
      <c r="R30" s="382"/>
      <c r="S30" s="317"/>
      <c r="T30" s="318"/>
      <c r="U30" s="318"/>
      <c r="V30" s="318"/>
      <c r="W30" s="318"/>
      <c r="X30" s="318"/>
      <c r="Y30" s="319"/>
      <c r="Z30" s="382"/>
      <c r="AA30" s="320"/>
      <c r="AB30" s="320"/>
      <c r="AC30" s="320"/>
      <c r="AD30" s="320"/>
      <c r="AE30" s="320"/>
      <c r="AF30" s="320"/>
      <c r="AG30" s="319"/>
      <c r="AH30" s="382"/>
      <c r="AI30" s="345"/>
      <c r="AJ30" s="346"/>
      <c r="AK30" s="346"/>
      <c r="AL30" s="346"/>
      <c r="AM30" s="346"/>
      <c r="AN30" s="346"/>
      <c r="AO30" s="346"/>
      <c r="AP30" s="346"/>
      <c r="AQ30" s="347"/>
      <c r="AR30" s="382"/>
      <c r="AS30" s="448"/>
      <c r="AT30" s="1409"/>
      <c r="AU30" s="1409"/>
      <c r="AV30" s="1409"/>
      <c r="AW30" s="1409"/>
      <c r="AX30" s="1409"/>
      <c r="AY30" s="1409"/>
      <c r="AZ30" s="1409"/>
      <c r="BA30" s="1409"/>
      <c r="BB30" s="1409"/>
      <c r="BC30" s="1409"/>
      <c r="BD30" s="1409"/>
      <c r="BE30" s="1409"/>
      <c r="BF30" s="1409"/>
      <c r="BG30" s="1409"/>
      <c r="BH30" s="1409"/>
      <c r="BI30" s="1409"/>
      <c r="BJ30" s="1409"/>
      <c r="BK30" s="1409"/>
      <c r="BL30" s="341"/>
    </row>
    <row r="31" spans="1:64">
      <c r="A31" s="307"/>
      <c r="B31" s="308"/>
      <c r="C31" s="309"/>
      <c r="D31" s="317"/>
      <c r="E31" s="318"/>
      <c r="F31" s="318"/>
      <c r="G31" s="318"/>
      <c r="H31" s="318"/>
      <c r="I31" s="319"/>
      <c r="J31" s="381"/>
      <c r="K31" s="382"/>
      <c r="L31" s="381"/>
      <c r="M31" s="324"/>
      <c r="N31" s="325"/>
      <c r="O31" s="325"/>
      <c r="P31" s="325"/>
      <c r="Q31" s="326"/>
      <c r="R31" s="382"/>
      <c r="S31" s="317"/>
      <c r="T31" s="318"/>
      <c r="U31" s="318"/>
      <c r="V31" s="318"/>
      <c r="W31" s="318"/>
      <c r="X31" s="318"/>
      <c r="Y31" s="319"/>
      <c r="Z31" s="382"/>
      <c r="AA31" s="320"/>
      <c r="AB31" s="320"/>
      <c r="AC31" s="320"/>
      <c r="AD31" s="320"/>
      <c r="AE31" s="320"/>
      <c r="AF31" s="320"/>
      <c r="AG31" s="319"/>
      <c r="AH31" s="382"/>
      <c r="AI31" s="345"/>
      <c r="AJ31" s="346"/>
      <c r="AK31" s="346"/>
      <c r="AL31" s="346"/>
      <c r="AM31" s="346"/>
      <c r="AN31" s="346"/>
      <c r="AO31" s="346"/>
      <c r="AP31" s="346"/>
      <c r="AQ31" s="347"/>
      <c r="AR31" s="382"/>
      <c r="AS31" s="448"/>
      <c r="AT31" s="1409"/>
      <c r="AU31" s="1409"/>
      <c r="AV31" s="1409"/>
      <c r="AW31" s="1409"/>
      <c r="AX31" s="1409"/>
      <c r="AY31" s="1409"/>
      <c r="AZ31" s="1409"/>
      <c r="BA31" s="1409"/>
      <c r="BB31" s="1409"/>
      <c r="BC31" s="1409"/>
      <c r="BD31" s="1409"/>
      <c r="BE31" s="1409"/>
      <c r="BF31" s="1409"/>
      <c r="BG31" s="1409"/>
      <c r="BH31" s="1409"/>
      <c r="BI31" s="1409"/>
      <c r="BJ31" s="1409"/>
      <c r="BK31" s="1409"/>
      <c r="BL31" s="341"/>
    </row>
    <row r="32" spans="1:64">
      <c r="A32" s="307"/>
      <c r="B32" s="308"/>
      <c r="C32" s="309"/>
      <c r="D32" s="317"/>
      <c r="E32" s="318"/>
      <c r="F32" s="318"/>
      <c r="G32" s="318"/>
      <c r="H32" s="318"/>
      <c r="I32" s="319"/>
      <c r="J32" s="381"/>
      <c r="K32" s="382"/>
      <c r="L32" s="381"/>
      <c r="M32" s="324"/>
      <c r="N32" s="325"/>
      <c r="O32" s="325"/>
      <c r="P32" s="325"/>
      <c r="Q32" s="326"/>
      <c r="R32" s="382"/>
      <c r="S32" s="317"/>
      <c r="T32" s="318"/>
      <c r="U32" s="318"/>
      <c r="V32" s="318"/>
      <c r="W32" s="318"/>
      <c r="X32" s="318"/>
      <c r="Y32" s="319"/>
      <c r="Z32" s="382"/>
      <c r="AA32" s="320"/>
      <c r="AB32" s="320"/>
      <c r="AC32" s="320"/>
      <c r="AD32" s="320"/>
      <c r="AE32" s="320"/>
      <c r="AF32" s="320"/>
      <c r="AG32" s="319"/>
      <c r="AH32" s="382"/>
      <c r="AI32" s="345"/>
      <c r="AJ32" s="346"/>
      <c r="AK32" s="346"/>
      <c r="AL32" s="346"/>
      <c r="AM32" s="346"/>
      <c r="AN32" s="346"/>
      <c r="AO32" s="346"/>
      <c r="AP32" s="346"/>
      <c r="AQ32" s="347"/>
      <c r="AR32" s="382"/>
      <c r="AS32" s="448"/>
      <c r="AT32" s="1409"/>
      <c r="AU32" s="1409"/>
      <c r="AV32" s="1409"/>
      <c r="AW32" s="1409"/>
      <c r="AX32" s="1409"/>
      <c r="AY32" s="1409"/>
      <c r="AZ32" s="1409"/>
      <c r="BA32" s="1409"/>
      <c r="BB32" s="1409"/>
      <c r="BC32" s="1409"/>
      <c r="BD32" s="1409"/>
      <c r="BE32" s="1409"/>
      <c r="BF32" s="1409"/>
      <c r="BG32" s="1409"/>
      <c r="BH32" s="1409"/>
      <c r="BI32" s="1409"/>
      <c r="BJ32" s="1409"/>
      <c r="BK32" s="1409"/>
      <c r="BL32" s="341"/>
    </row>
    <row r="33" spans="1:64">
      <c r="A33" s="307"/>
      <c r="B33" s="308"/>
      <c r="C33" s="309"/>
      <c r="D33" s="317"/>
      <c r="E33" s="318"/>
      <c r="F33" s="318"/>
      <c r="G33" s="318"/>
      <c r="H33" s="318"/>
      <c r="I33" s="319"/>
      <c r="J33" s="381"/>
      <c r="K33" s="382"/>
      <c r="L33" s="381"/>
      <c r="M33" s="324"/>
      <c r="N33" s="325"/>
      <c r="O33" s="325"/>
      <c r="P33" s="325"/>
      <c r="Q33" s="326"/>
      <c r="R33" s="382"/>
      <c r="S33" s="317"/>
      <c r="T33" s="318"/>
      <c r="U33" s="318"/>
      <c r="V33" s="318"/>
      <c r="W33" s="318"/>
      <c r="X33" s="318"/>
      <c r="Y33" s="319"/>
      <c r="Z33" s="382"/>
      <c r="AA33" s="320"/>
      <c r="AB33" s="320"/>
      <c r="AC33" s="320"/>
      <c r="AD33" s="320"/>
      <c r="AE33" s="320"/>
      <c r="AF33" s="320"/>
      <c r="AG33" s="319"/>
      <c r="AH33" s="382"/>
      <c r="AI33" s="345"/>
      <c r="AJ33" s="346"/>
      <c r="AK33" s="346"/>
      <c r="AL33" s="346"/>
      <c r="AM33" s="346"/>
      <c r="AN33" s="346"/>
      <c r="AO33" s="346"/>
      <c r="AP33" s="346"/>
      <c r="AQ33" s="347"/>
      <c r="AR33" s="382"/>
      <c r="AS33" s="448"/>
      <c r="AT33" s="1409"/>
      <c r="AU33" s="1409"/>
      <c r="AV33" s="1409"/>
      <c r="AW33" s="1409"/>
      <c r="AX33" s="1409"/>
      <c r="AY33" s="1409"/>
      <c r="AZ33" s="1409"/>
      <c r="BA33" s="1409"/>
      <c r="BB33" s="1409"/>
      <c r="BC33" s="1409"/>
      <c r="BD33" s="1409"/>
      <c r="BE33" s="1409"/>
      <c r="BF33" s="1409"/>
      <c r="BG33" s="1409"/>
      <c r="BH33" s="1409"/>
      <c r="BI33" s="1409"/>
      <c r="BJ33" s="1409"/>
      <c r="BK33" s="1409"/>
      <c r="BL33" s="341"/>
    </row>
    <row r="34" spans="1:64">
      <c r="A34" s="307"/>
      <c r="B34" s="308"/>
      <c r="C34" s="309"/>
      <c r="D34" s="317"/>
      <c r="E34" s="318"/>
      <c r="F34" s="318"/>
      <c r="G34" s="318"/>
      <c r="H34" s="318"/>
      <c r="I34" s="319"/>
      <c r="J34" s="381"/>
      <c r="K34" s="382"/>
      <c r="L34" s="381"/>
      <c r="M34" s="324"/>
      <c r="N34" s="325"/>
      <c r="O34" s="325"/>
      <c r="P34" s="325"/>
      <c r="Q34" s="326"/>
      <c r="R34" s="382"/>
      <c r="S34" s="317"/>
      <c r="T34" s="318"/>
      <c r="U34" s="318"/>
      <c r="V34" s="318"/>
      <c r="W34" s="318"/>
      <c r="X34" s="318"/>
      <c r="Y34" s="319"/>
      <c r="Z34" s="382"/>
      <c r="AA34" s="320"/>
      <c r="AB34" s="320"/>
      <c r="AC34" s="320"/>
      <c r="AD34" s="320"/>
      <c r="AE34" s="320"/>
      <c r="AF34" s="320"/>
      <c r="AG34" s="319"/>
      <c r="AH34" s="382"/>
      <c r="AI34" s="345"/>
      <c r="AJ34" s="346"/>
      <c r="AK34" s="346"/>
      <c r="AL34" s="346"/>
      <c r="AM34" s="346"/>
      <c r="AN34" s="346"/>
      <c r="AO34" s="346"/>
      <c r="AP34" s="346"/>
      <c r="AQ34" s="347"/>
      <c r="AR34" s="382"/>
      <c r="AS34" s="448"/>
      <c r="AT34" s="1409"/>
      <c r="AU34" s="1409"/>
      <c r="AV34" s="1409"/>
      <c r="AW34" s="1409"/>
      <c r="AX34" s="1409"/>
      <c r="AY34" s="1409"/>
      <c r="AZ34" s="1409"/>
      <c r="BA34" s="1409"/>
      <c r="BB34" s="1409"/>
      <c r="BC34" s="1409"/>
      <c r="BD34" s="1409"/>
      <c r="BE34" s="1409"/>
      <c r="BF34" s="1409"/>
      <c r="BG34" s="1409"/>
      <c r="BH34" s="1409"/>
      <c r="BI34" s="1409"/>
      <c r="BJ34" s="1409"/>
      <c r="BK34" s="1409"/>
      <c r="BL34" s="341"/>
    </row>
    <row r="35" spans="1:64">
      <c r="A35" s="307"/>
      <c r="B35" s="310"/>
      <c r="C35" s="309"/>
      <c r="D35" s="317"/>
      <c r="E35" s="320"/>
      <c r="F35" s="320"/>
      <c r="G35" s="320"/>
      <c r="H35" s="320"/>
      <c r="I35" s="319"/>
      <c r="J35" s="381"/>
      <c r="K35" s="382"/>
      <c r="L35" s="381"/>
      <c r="M35" s="324"/>
      <c r="N35" s="325"/>
      <c r="O35" s="325"/>
      <c r="P35" s="325"/>
      <c r="Q35" s="326"/>
      <c r="R35" s="382"/>
      <c r="S35" s="317"/>
      <c r="T35" s="320"/>
      <c r="U35" s="320"/>
      <c r="V35" s="320"/>
      <c r="W35" s="320"/>
      <c r="X35" s="320"/>
      <c r="Y35" s="319"/>
      <c r="Z35" s="382"/>
      <c r="AA35" s="320"/>
      <c r="AB35" s="320"/>
      <c r="AC35" s="320"/>
      <c r="AD35" s="320"/>
      <c r="AE35" s="320"/>
      <c r="AF35" s="320"/>
      <c r="AG35" s="319"/>
      <c r="AH35" s="382"/>
      <c r="AI35" s="345"/>
      <c r="AJ35" s="348"/>
      <c r="AK35" s="348"/>
      <c r="AL35" s="348"/>
      <c r="AM35" s="348"/>
      <c r="AN35" s="348"/>
      <c r="AO35" s="348"/>
      <c r="AP35" s="348"/>
      <c r="AQ35" s="347"/>
      <c r="AR35" s="382"/>
      <c r="AS35" s="339"/>
      <c r="AT35" s="340"/>
      <c r="AU35" s="340"/>
      <c r="AV35" s="340"/>
      <c r="AW35" s="340"/>
      <c r="AX35" s="340"/>
      <c r="AY35" s="340"/>
      <c r="AZ35" s="340"/>
      <c r="BA35" s="340"/>
      <c r="BB35" s="340"/>
      <c r="BC35" s="340"/>
      <c r="BD35" s="340"/>
      <c r="BE35" s="340"/>
      <c r="BF35" s="340"/>
      <c r="BG35" s="340"/>
      <c r="BH35" s="340"/>
      <c r="BI35" s="340"/>
      <c r="BJ35" s="340"/>
      <c r="BK35" s="340"/>
      <c r="BL35" s="341"/>
    </row>
    <row r="36" spans="1:64">
      <c r="A36" s="307"/>
      <c r="B36" s="310"/>
      <c r="C36" s="309"/>
      <c r="D36" s="317"/>
      <c r="E36" s="320"/>
      <c r="F36" s="320"/>
      <c r="G36" s="320"/>
      <c r="H36" s="320"/>
      <c r="I36" s="319"/>
      <c r="J36" s="381"/>
      <c r="K36" s="382"/>
      <c r="L36" s="381"/>
      <c r="M36" s="324"/>
      <c r="N36" s="325"/>
      <c r="O36" s="325"/>
      <c r="P36" s="325"/>
      <c r="Q36" s="326"/>
      <c r="R36" s="382"/>
      <c r="S36" s="317"/>
      <c r="T36" s="320"/>
      <c r="U36" s="320"/>
      <c r="V36" s="320"/>
      <c r="W36" s="320"/>
      <c r="X36" s="320"/>
      <c r="Y36" s="319"/>
      <c r="Z36" s="382"/>
      <c r="AA36" s="320"/>
      <c r="AB36" s="320"/>
      <c r="AC36" s="320"/>
      <c r="AD36" s="320"/>
      <c r="AE36" s="320"/>
      <c r="AF36" s="320"/>
      <c r="AG36" s="319"/>
      <c r="AH36" s="382"/>
      <c r="AI36" s="345"/>
      <c r="AJ36" s="348"/>
      <c r="AK36" s="348"/>
      <c r="AL36" s="348"/>
      <c r="AM36" s="348"/>
      <c r="AN36" s="348"/>
      <c r="AO36" s="348"/>
      <c r="AP36" s="348"/>
      <c r="AQ36" s="347"/>
      <c r="AR36" s="382"/>
      <c r="AS36" s="339"/>
      <c r="AT36" s="340"/>
      <c r="AU36" s="340"/>
      <c r="AV36" s="340"/>
      <c r="AW36" s="340"/>
      <c r="AX36" s="340"/>
      <c r="AY36" s="340"/>
      <c r="AZ36" s="340"/>
      <c r="BA36" s="340"/>
      <c r="BB36" s="340"/>
      <c r="BC36" s="340"/>
      <c r="BD36" s="340"/>
      <c r="BE36" s="340"/>
      <c r="BF36" s="340"/>
      <c r="BG36" s="340"/>
      <c r="BH36" s="340"/>
      <c r="BI36" s="340"/>
      <c r="BJ36" s="340"/>
      <c r="BK36" s="340"/>
      <c r="BL36" s="341"/>
    </row>
    <row r="37" spans="1:64">
      <c r="A37" s="307"/>
      <c r="B37" s="310"/>
      <c r="C37" s="309"/>
      <c r="D37" s="317"/>
      <c r="E37" s="320"/>
      <c r="F37" s="320"/>
      <c r="G37" s="320"/>
      <c r="H37" s="320"/>
      <c r="I37" s="319"/>
      <c r="J37" s="381"/>
      <c r="K37" s="382"/>
      <c r="L37" s="381"/>
      <c r="M37" s="324"/>
      <c r="N37" s="325"/>
      <c r="O37" s="325"/>
      <c r="P37" s="325"/>
      <c r="Q37" s="326"/>
      <c r="R37" s="382"/>
      <c r="S37" s="317"/>
      <c r="T37" s="320"/>
      <c r="U37" s="320"/>
      <c r="V37" s="320"/>
      <c r="W37" s="320"/>
      <c r="X37" s="320"/>
      <c r="Y37" s="319"/>
      <c r="Z37" s="382"/>
      <c r="AA37" s="320"/>
      <c r="AB37" s="320"/>
      <c r="AC37" s="320"/>
      <c r="AD37" s="320"/>
      <c r="AE37" s="320"/>
      <c r="AF37" s="320"/>
      <c r="AG37" s="319"/>
      <c r="AH37" s="382"/>
      <c r="AI37" s="345"/>
      <c r="AJ37" s="348"/>
      <c r="AK37" s="348"/>
      <c r="AL37" s="348"/>
      <c r="AM37" s="348"/>
      <c r="AN37" s="348"/>
      <c r="AO37" s="348"/>
      <c r="AP37" s="348"/>
      <c r="AQ37" s="347"/>
      <c r="AR37" s="382"/>
      <c r="AS37" s="339"/>
      <c r="AT37" s="340"/>
      <c r="AU37" s="340"/>
      <c r="AV37" s="340"/>
      <c r="AW37" s="340"/>
      <c r="AX37" s="340"/>
      <c r="AY37" s="340"/>
      <c r="AZ37" s="340"/>
      <c r="BA37" s="340"/>
      <c r="BB37" s="340"/>
      <c r="BC37" s="340"/>
      <c r="BD37" s="340"/>
      <c r="BE37" s="340"/>
      <c r="BF37" s="340"/>
      <c r="BG37" s="340"/>
      <c r="BH37" s="340"/>
      <c r="BI37" s="340"/>
      <c r="BJ37" s="340"/>
      <c r="BK37" s="340"/>
      <c r="BL37" s="341"/>
    </row>
    <row r="38" spans="1:64">
      <c r="A38" s="307"/>
      <c r="B38" s="310"/>
      <c r="C38" s="309"/>
      <c r="D38" s="317"/>
      <c r="E38" s="320"/>
      <c r="F38" s="320"/>
      <c r="G38" s="320"/>
      <c r="H38" s="320"/>
      <c r="I38" s="319"/>
      <c r="J38" s="381"/>
      <c r="K38" s="382"/>
      <c r="L38" s="381"/>
      <c r="M38" s="324"/>
      <c r="N38" s="325"/>
      <c r="O38" s="325"/>
      <c r="P38" s="325"/>
      <c r="Q38" s="326"/>
      <c r="R38" s="382"/>
      <c r="S38" s="317"/>
      <c r="T38" s="320"/>
      <c r="U38" s="320"/>
      <c r="V38" s="320"/>
      <c r="W38" s="320"/>
      <c r="X38" s="320"/>
      <c r="Y38" s="319"/>
      <c r="Z38" s="382"/>
      <c r="AA38" s="320"/>
      <c r="AB38" s="320"/>
      <c r="AC38" s="320"/>
      <c r="AD38" s="320"/>
      <c r="AE38" s="320"/>
      <c r="AF38" s="320"/>
      <c r="AG38" s="319"/>
      <c r="AH38" s="382"/>
      <c r="AI38" s="345"/>
      <c r="AJ38" s="348"/>
      <c r="AK38" s="348"/>
      <c r="AL38" s="348"/>
      <c r="AM38" s="348"/>
      <c r="AN38" s="348"/>
      <c r="AO38" s="348"/>
      <c r="AP38" s="348"/>
      <c r="AQ38" s="347"/>
      <c r="AR38" s="382"/>
      <c r="AS38" s="339"/>
      <c r="AT38" s="340"/>
      <c r="AU38" s="340"/>
      <c r="AV38" s="340"/>
      <c r="AW38" s="340"/>
      <c r="AX38" s="340"/>
      <c r="AY38" s="340"/>
      <c r="AZ38" s="340"/>
      <c r="BA38" s="340"/>
      <c r="BB38" s="340"/>
      <c r="BC38" s="340"/>
      <c r="BD38" s="340"/>
      <c r="BE38" s="340"/>
      <c r="BF38" s="340"/>
      <c r="BG38" s="340"/>
      <c r="BH38" s="340"/>
      <c r="BI38" s="340"/>
      <c r="BJ38" s="340"/>
      <c r="BK38" s="340"/>
      <c r="BL38" s="341"/>
    </row>
    <row r="39" spans="1:64">
      <c r="A39" s="311"/>
      <c r="B39" s="312"/>
      <c r="C39" s="313"/>
      <c r="D39" s="321"/>
      <c r="E39" s="322"/>
      <c r="F39" s="322"/>
      <c r="G39" s="322"/>
      <c r="H39" s="322"/>
      <c r="I39" s="323"/>
      <c r="J39" s="381"/>
      <c r="K39" s="382"/>
      <c r="L39" s="381"/>
      <c r="M39" s="324"/>
      <c r="N39" s="325"/>
      <c r="O39" s="325"/>
      <c r="P39" s="325"/>
      <c r="Q39" s="326"/>
      <c r="R39" s="382"/>
      <c r="S39" s="317"/>
      <c r="T39" s="320"/>
      <c r="U39" s="320"/>
      <c r="V39" s="320"/>
      <c r="W39" s="320"/>
      <c r="X39" s="320"/>
      <c r="Y39" s="319"/>
      <c r="Z39" s="382"/>
      <c r="AA39" s="320"/>
      <c r="AB39" s="320"/>
      <c r="AC39" s="320"/>
      <c r="AD39" s="320"/>
      <c r="AE39" s="320"/>
      <c r="AF39" s="320"/>
      <c r="AG39" s="319"/>
      <c r="AH39" s="382"/>
      <c r="AI39" s="345"/>
      <c r="AJ39" s="348"/>
      <c r="AK39" s="348"/>
      <c r="AL39" s="348"/>
      <c r="AM39" s="348"/>
      <c r="AN39" s="348"/>
      <c r="AO39" s="348"/>
      <c r="AP39" s="348"/>
      <c r="AQ39" s="347"/>
      <c r="AR39" s="382"/>
      <c r="AS39" s="339"/>
      <c r="AT39" s="340"/>
      <c r="AU39" s="340"/>
      <c r="AV39" s="340"/>
      <c r="AW39" s="340"/>
      <c r="AX39" s="340"/>
      <c r="AY39" s="340"/>
      <c r="AZ39" s="340"/>
      <c r="BA39" s="340"/>
      <c r="BB39" s="340"/>
      <c r="BC39" s="340"/>
      <c r="BD39" s="340"/>
      <c r="BE39" s="340"/>
      <c r="BF39" s="340"/>
      <c r="BG39" s="340"/>
      <c r="BH39" s="340"/>
      <c r="BI39" s="340"/>
      <c r="BJ39" s="340"/>
      <c r="BK39" s="340"/>
      <c r="BL39" s="341"/>
    </row>
    <row r="40" spans="1:64">
      <c r="A40" s="301"/>
      <c r="B40" s="302"/>
      <c r="C40" s="303"/>
      <c r="D40" s="301"/>
      <c r="E40" s="302"/>
      <c r="F40" s="302"/>
      <c r="G40" s="302"/>
      <c r="H40" s="302"/>
      <c r="I40" s="303"/>
      <c r="J40" s="381"/>
      <c r="K40" s="382"/>
      <c r="L40" s="381"/>
      <c r="M40" s="324"/>
      <c r="N40" s="325"/>
      <c r="O40" s="325"/>
      <c r="P40" s="325"/>
      <c r="Q40" s="326"/>
      <c r="R40" s="382"/>
      <c r="S40" s="317"/>
      <c r="T40" s="320"/>
      <c r="U40" s="320"/>
      <c r="V40" s="320"/>
      <c r="W40" s="320"/>
      <c r="X40" s="320"/>
      <c r="Y40" s="319"/>
      <c r="Z40" s="382"/>
      <c r="AA40" s="320"/>
      <c r="AB40" s="320"/>
      <c r="AC40" s="320"/>
      <c r="AD40" s="320"/>
      <c r="AE40" s="320"/>
      <c r="AF40" s="320"/>
      <c r="AG40" s="319"/>
      <c r="AH40" s="382"/>
      <c r="AI40" s="301"/>
      <c r="AJ40" s="302"/>
      <c r="AK40" s="302"/>
      <c r="AL40" s="302"/>
      <c r="AM40" s="302"/>
      <c r="AN40" s="302"/>
      <c r="AO40" s="302"/>
      <c r="AP40" s="302"/>
      <c r="AQ40" s="303"/>
      <c r="AR40" s="382"/>
      <c r="AS40" s="339"/>
      <c r="AT40" s="340"/>
      <c r="AU40" s="340"/>
      <c r="AV40" s="340"/>
      <c r="AW40" s="340"/>
      <c r="AX40" s="340"/>
      <c r="AY40" s="340"/>
      <c r="AZ40" s="340"/>
      <c r="BA40" s="340"/>
      <c r="BB40" s="340"/>
      <c r="BC40" s="340"/>
      <c r="BD40" s="340"/>
      <c r="BE40" s="340"/>
      <c r="BF40" s="340"/>
      <c r="BG40" s="340"/>
      <c r="BH40" s="340"/>
      <c r="BI40" s="340"/>
      <c r="BJ40" s="340"/>
      <c r="BK40" s="340"/>
      <c r="BL40" s="341"/>
    </row>
    <row r="41" spans="1:64" ht="15.75">
      <c r="A41" s="355">
        <f>AI29</f>
        <v>6686400</v>
      </c>
      <c r="B41" s="356"/>
      <c r="C41" s="356"/>
      <c r="D41" s="356"/>
      <c r="E41" s="356"/>
      <c r="F41" s="356"/>
      <c r="G41" s="356"/>
      <c r="H41" s="356"/>
      <c r="I41" s="356"/>
      <c r="J41" s="356"/>
      <c r="K41" s="356"/>
      <c r="L41" s="356"/>
      <c r="M41" s="357"/>
      <c r="N41" s="32"/>
      <c r="O41" s="32"/>
      <c r="P41" s="32"/>
      <c r="Q41" s="32"/>
      <c r="R41" s="32"/>
      <c r="S41" s="349"/>
      <c r="T41" s="349"/>
      <c r="U41" s="349"/>
      <c r="V41" s="349"/>
      <c r="W41" s="349"/>
      <c r="X41" s="349"/>
      <c r="Y41" s="349"/>
      <c r="Z41" s="32"/>
      <c r="AA41" s="33"/>
      <c r="AB41" s="1" t="s">
        <v>59</v>
      </c>
      <c r="AC41" s="2"/>
      <c r="AD41" s="2"/>
      <c r="AE41" s="2"/>
      <c r="AF41" s="2"/>
      <c r="AG41" s="2"/>
      <c r="AH41" s="2"/>
      <c r="AI41" s="361"/>
      <c r="AJ41" s="361"/>
      <c r="AK41" s="361"/>
      <c r="AL41" s="361"/>
      <c r="AM41" s="361"/>
      <c r="AN41" s="361"/>
      <c r="AO41" s="361"/>
      <c r="AP41" s="361"/>
      <c r="AQ41" s="361"/>
      <c r="AR41" s="2"/>
      <c r="AS41" s="2"/>
      <c r="AT41" s="2"/>
      <c r="AU41" s="2"/>
      <c r="AV41" s="2"/>
      <c r="AW41" s="2"/>
      <c r="AX41" s="2"/>
      <c r="AY41" s="2"/>
      <c r="AZ41" s="2"/>
      <c r="BA41" s="2"/>
      <c r="BB41" s="2"/>
      <c r="BC41" s="2"/>
      <c r="BD41" s="2"/>
      <c r="BE41" s="2"/>
      <c r="BF41" s="2"/>
      <c r="BG41" s="2"/>
      <c r="BH41" s="2"/>
      <c r="BI41" s="2"/>
      <c r="BJ41" s="2"/>
      <c r="BK41" s="2"/>
      <c r="BL41" s="3"/>
    </row>
    <row r="42" spans="1:64" ht="7.5" customHeight="1">
      <c r="A42" s="358"/>
      <c r="B42" s="359"/>
      <c r="C42" s="359"/>
      <c r="D42" s="359"/>
      <c r="E42" s="359"/>
      <c r="F42" s="359"/>
      <c r="G42" s="359"/>
      <c r="H42" s="359"/>
      <c r="I42" s="359"/>
      <c r="J42" s="359"/>
      <c r="K42" s="359"/>
      <c r="L42" s="359"/>
      <c r="M42" s="360"/>
      <c r="N42" s="34"/>
      <c r="O42" s="34"/>
      <c r="P42" s="34"/>
      <c r="Q42" s="34"/>
      <c r="R42" s="34"/>
      <c r="S42" s="34"/>
      <c r="T42" s="34"/>
      <c r="U42" s="34"/>
      <c r="V42" s="34"/>
      <c r="W42" s="34"/>
      <c r="X42" s="34"/>
      <c r="Y42" s="34"/>
      <c r="Z42" s="34"/>
      <c r="AA42" s="35"/>
      <c r="AB42" s="36"/>
      <c r="AC42" s="8"/>
      <c r="AD42" s="8"/>
      <c r="AE42" s="8"/>
      <c r="AF42" s="8"/>
      <c r="AG42" s="8"/>
      <c r="AH42" s="8"/>
      <c r="AI42" s="284"/>
      <c r="AJ42" s="284"/>
      <c r="AK42" s="284"/>
      <c r="AL42" s="284"/>
      <c r="AM42" s="284"/>
      <c r="AN42" s="284"/>
      <c r="AO42" s="284"/>
      <c r="AP42" s="284"/>
      <c r="AQ42" s="284"/>
      <c r="AR42" s="8"/>
      <c r="AS42" s="8"/>
      <c r="AT42" s="8"/>
      <c r="AU42" s="8"/>
      <c r="AV42" s="8"/>
      <c r="AW42" s="8"/>
      <c r="AX42" s="8"/>
      <c r="AY42" s="8"/>
      <c r="AZ42" s="8"/>
      <c r="BA42" s="8"/>
      <c r="BB42" s="8"/>
      <c r="BC42" s="8"/>
      <c r="BD42" s="8"/>
      <c r="BE42" s="8"/>
      <c r="BF42" s="8"/>
      <c r="BG42" s="8"/>
      <c r="BH42" s="8"/>
      <c r="BI42" s="8"/>
      <c r="BJ42" s="8"/>
      <c r="BK42" s="8"/>
      <c r="BL42" s="9"/>
    </row>
    <row r="43" spans="1:64" ht="15.75">
      <c r="A43" s="37"/>
      <c r="B43" s="32"/>
      <c r="C43" s="32"/>
      <c r="D43" s="32"/>
      <c r="E43" s="32"/>
      <c r="F43" s="32"/>
      <c r="G43" s="32"/>
      <c r="H43" s="32"/>
      <c r="I43" s="32"/>
      <c r="J43" s="32"/>
      <c r="K43" s="32"/>
      <c r="L43" s="32"/>
      <c r="M43" s="33"/>
      <c r="N43" s="38"/>
      <c r="O43" s="38"/>
      <c r="P43" s="38"/>
      <c r="Q43" s="38"/>
      <c r="R43" s="38"/>
      <c r="S43" s="38"/>
      <c r="T43" s="38"/>
      <c r="U43" s="38"/>
      <c r="V43" s="38"/>
      <c r="W43" s="38"/>
      <c r="X43" s="38"/>
      <c r="Y43" s="38"/>
      <c r="Z43" s="38"/>
      <c r="AA43" s="39"/>
      <c r="AB43" s="362"/>
      <c r="AC43" s="363"/>
      <c r="AD43" s="363"/>
      <c r="AE43" s="363"/>
      <c r="AF43" s="363"/>
      <c r="AG43" s="363"/>
      <c r="AH43" s="363"/>
      <c r="AI43" s="363"/>
      <c r="AJ43" s="363"/>
      <c r="AK43" s="363"/>
      <c r="AL43" s="363"/>
      <c r="AM43" s="363"/>
      <c r="AN43" s="363"/>
      <c r="AO43" s="363"/>
      <c r="AP43" s="363"/>
      <c r="AQ43" s="363"/>
      <c r="AR43" s="363"/>
      <c r="AS43" s="363"/>
      <c r="AT43" s="363"/>
      <c r="AU43" s="363"/>
      <c r="AV43" s="363"/>
      <c r="AW43" s="363"/>
      <c r="AX43" s="363"/>
      <c r="AY43" s="363"/>
      <c r="AZ43" s="363"/>
      <c r="BA43" s="363"/>
      <c r="BB43" s="363"/>
      <c r="BC43" s="363"/>
      <c r="BD43" s="363"/>
      <c r="BE43" s="363"/>
      <c r="BF43" s="363"/>
      <c r="BG43" s="363"/>
      <c r="BH43" s="363"/>
      <c r="BI43" s="363"/>
      <c r="BJ43" s="363"/>
      <c r="BK43" s="363"/>
      <c r="BL43" s="363"/>
    </row>
    <row r="44" spans="1:64" ht="7.5" customHeight="1">
      <c r="A44" s="40"/>
      <c r="B44" s="34"/>
      <c r="C44" s="34"/>
      <c r="D44" s="34"/>
      <c r="E44" s="34"/>
      <c r="F44" s="34"/>
      <c r="G44" s="34"/>
      <c r="H44" s="34"/>
      <c r="I44" s="34"/>
      <c r="J44" s="34"/>
      <c r="K44" s="34"/>
      <c r="L44" s="34"/>
      <c r="M44" s="35"/>
      <c r="N44" s="34"/>
      <c r="O44" s="34"/>
      <c r="P44" s="34"/>
      <c r="Q44" s="34"/>
      <c r="R44" s="34"/>
      <c r="S44" s="34"/>
      <c r="T44" s="34"/>
      <c r="U44" s="34"/>
      <c r="V44" s="34"/>
      <c r="W44" s="34"/>
      <c r="X44" s="34"/>
      <c r="Y44" s="34"/>
      <c r="Z44" s="34"/>
      <c r="AA44" s="35"/>
      <c r="AB44" s="362"/>
      <c r="AC44" s="363"/>
      <c r="AD44" s="363"/>
      <c r="AE44" s="363"/>
      <c r="AF44" s="363"/>
      <c r="AG44" s="363"/>
      <c r="AH44" s="363"/>
      <c r="AI44" s="363"/>
      <c r="AJ44" s="363"/>
      <c r="AK44" s="363"/>
      <c r="AL44" s="363"/>
      <c r="AM44" s="363"/>
      <c r="AN44" s="363"/>
      <c r="AO44" s="363"/>
      <c r="AP44" s="363"/>
      <c r="AQ44" s="363"/>
      <c r="AR44" s="363"/>
      <c r="AS44" s="363"/>
      <c r="AT44" s="363"/>
      <c r="AU44" s="363"/>
      <c r="AV44" s="363"/>
      <c r="AW44" s="363"/>
      <c r="AX44" s="363"/>
      <c r="AY44" s="363"/>
      <c r="AZ44" s="363"/>
      <c r="BA44" s="363"/>
      <c r="BB44" s="363"/>
      <c r="BC44" s="363"/>
      <c r="BD44" s="363"/>
      <c r="BE44" s="363"/>
      <c r="BF44" s="363"/>
      <c r="BG44" s="363"/>
      <c r="BH44" s="363"/>
      <c r="BI44" s="363"/>
      <c r="BJ44" s="363"/>
      <c r="BK44" s="363"/>
      <c r="BL44" s="363"/>
    </row>
    <row r="45" spans="1:64" ht="15.75">
      <c r="A45" s="37"/>
      <c r="B45" s="32"/>
      <c r="C45" s="32"/>
      <c r="D45" s="32"/>
      <c r="E45" s="41"/>
      <c r="F45" s="41"/>
      <c r="G45" s="41"/>
      <c r="H45" s="41"/>
      <c r="I45" s="41"/>
      <c r="J45" s="41"/>
      <c r="K45" s="41"/>
      <c r="L45" s="41"/>
      <c r="M45" s="42"/>
      <c r="N45" s="43"/>
      <c r="O45" s="43"/>
      <c r="P45" s="43"/>
      <c r="Q45" s="43"/>
      <c r="R45" s="43"/>
      <c r="S45" s="43"/>
      <c r="T45" s="43"/>
      <c r="U45" s="43"/>
      <c r="V45" s="43"/>
      <c r="W45" s="43"/>
      <c r="X45" s="38"/>
      <c r="Y45" s="38"/>
      <c r="Z45" s="38"/>
      <c r="AA45" s="39"/>
      <c r="AB45" s="363"/>
      <c r="AC45" s="363"/>
      <c r="AD45" s="363"/>
      <c r="AE45" s="363"/>
      <c r="AF45" s="363"/>
      <c r="AG45" s="363"/>
      <c r="AH45" s="363"/>
      <c r="AI45" s="363"/>
      <c r="AJ45" s="363"/>
      <c r="AK45" s="363"/>
      <c r="AL45" s="363"/>
      <c r="AM45" s="363"/>
      <c r="AN45" s="363"/>
      <c r="AO45" s="363"/>
      <c r="AP45" s="363"/>
      <c r="AQ45" s="363"/>
      <c r="AR45" s="363"/>
      <c r="AS45" s="363"/>
      <c r="AT45" s="363"/>
      <c r="AU45" s="363"/>
      <c r="AV45" s="363"/>
      <c r="AW45" s="363"/>
      <c r="AX45" s="363"/>
      <c r="AY45" s="363"/>
      <c r="AZ45" s="363"/>
      <c r="BA45" s="363"/>
      <c r="BB45" s="363"/>
      <c r="BC45" s="363"/>
      <c r="BD45" s="363"/>
      <c r="BE45" s="363"/>
      <c r="BF45" s="363"/>
      <c r="BG45" s="363"/>
      <c r="BH45" s="363"/>
      <c r="BI45" s="363"/>
      <c r="BJ45" s="363"/>
      <c r="BK45" s="363"/>
      <c r="BL45" s="363"/>
    </row>
    <row r="46" spans="1:64" ht="7.5" customHeight="1">
      <c r="A46" s="40"/>
      <c r="B46" s="34"/>
      <c r="C46" s="34"/>
      <c r="D46" s="34"/>
      <c r="E46" s="34"/>
      <c r="F46" s="34"/>
      <c r="G46" s="34"/>
      <c r="H46" s="34"/>
      <c r="I46" s="34"/>
      <c r="J46" s="34"/>
      <c r="K46" s="34"/>
      <c r="L46" s="34"/>
      <c r="M46" s="35"/>
      <c r="N46" s="34"/>
      <c r="O46" s="34"/>
      <c r="P46" s="34"/>
      <c r="Q46" s="34"/>
      <c r="R46" s="34"/>
      <c r="S46" s="34"/>
      <c r="T46" s="34"/>
      <c r="U46" s="34"/>
      <c r="V46" s="34"/>
      <c r="W46" s="34"/>
      <c r="X46" s="34"/>
      <c r="Y46" s="34"/>
      <c r="Z46" s="34"/>
      <c r="AA46" s="35"/>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row>
    <row r="47" spans="1:64" ht="15" customHeight="1">
      <c r="A47" s="37"/>
      <c r="B47" s="32"/>
      <c r="C47" s="32"/>
      <c r="D47" s="32"/>
      <c r="E47" s="32"/>
      <c r="F47" s="32"/>
      <c r="G47" s="32"/>
      <c r="H47" s="32"/>
      <c r="I47" s="32"/>
      <c r="J47" s="32"/>
      <c r="K47" s="32"/>
      <c r="L47" s="32"/>
      <c r="M47" s="33"/>
      <c r="N47" s="32"/>
      <c r="O47" s="32"/>
      <c r="P47" s="32"/>
      <c r="Q47" s="32"/>
      <c r="R47" s="32"/>
      <c r="S47" s="32"/>
      <c r="T47" s="32"/>
      <c r="U47" s="32"/>
      <c r="V47" s="32"/>
      <c r="W47" s="32"/>
      <c r="X47" s="32"/>
      <c r="Y47" s="32"/>
      <c r="Z47" s="32"/>
      <c r="AA47" s="33"/>
      <c r="AB47" s="364" t="s">
        <v>60</v>
      </c>
      <c r="AC47" s="365"/>
      <c r="AD47" s="365"/>
      <c r="AE47" s="365"/>
      <c r="AF47" s="365"/>
      <c r="AG47" s="365"/>
      <c r="AH47" s="365"/>
      <c r="AI47" s="365"/>
      <c r="AJ47" s="365"/>
      <c r="AK47" s="365"/>
      <c r="AL47" s="365"/>
      <c r="AM47" s="365"/>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5"/>
      <c r="BK47" s="365"/>
      <c r="BL47" s="366"/>
    </row>
    <row r="48" spans="1:64" ht="7.5" customHeight="1">
      <c r="A48" s="40"/>
      <c r="B48" s="34"/>
      <c r="C48" s="34"/>
      <c r="D48" s="34"/>
      <c r="E48" s="34"/>
      <c r="F48" s="34"/>
      <c r="G48" s="34"/>
      <c r="H48" s="34"/>
      <c r="I48" s="34"/>
      <c r="J48" s="34"/>
      <c r="K48" s="34"/>
      <c r="L48" s="34"/>
      <c r="M48" s="35"/>
      <c r="N48" s="34"/>
      <c r="O48" s="34"/>
      <c r="P48" s="34"/>
      <c r="Q48" s="34"/>
      <c r="R48" s="34"/>
      <c r="S48" s="34"/>
      <c r="T48" s="34"/>
      <c r="U48" s="34"/>
      <c r="V48" s="34"/>
      <c r="W48" s="34"/>
      <c r="X48" s="34"/>
      <c r="Y48" s="34"/>
      <c r="Z48" s="34"/>
      <c r="AA48" s="35"/>
      <c r="AB48" s="367"/>
      <c r="AC48" s="368"/>
      <c r="AD48" s="368"/>
      <c r="AE48" s="368"/>
      <c r="AF48" s="368"/>
      <c r="AG48" s="368"/>
      <c r="AH48" s="368"/>
      <c r="AI48" s="368"/>
      <c r="AJ48" s="368"/>
      <c r="AK48" s="368"/>
      <c r="AL48" s="368"/>
      <c r="AM48" s="368"/>
      <c r="AN48" s="368"/>
      <c r="AO48" s="368"/>
      <c r="AP48" s="368"/>
      <c r="AQ48" s="368"/>
      <c r="AR48" s="368"/>
      <c r="AS48" s="368"/>
      <c r="AT48" s="368"/>
      <c r="AU48" s="368"/>
      <c r="AV48" s="368"/>
      <c r="AW48" s="368"/>
      <c r="AX48" s="368"/>
      <c r="AY48" s="368"/>
      <c r="AZ48" s="368"/>
      <c r="BA48" s="368"/>
      <c r="BB48" s="368"/>
      <c r="BC48" s="368"/>
      <c r="BD48" s="368"/>
      <c r="BE48" s="368"/>
      <c r="BF48" s="368"/>
      <c r="BG48" s="368"/>
      <c r="BH48" s="368"/>
      <c r="BI48" s="368"/>
      <c r="BJ48" s="368"/>
      <c r="BK48" s="368"/>
      <c r="BL48" s="369"/>
    </row>
    <row r="49" spans="1:64" ht="15.75">
      <c r="A49" s="389">
        <f>'1'!A46</f>
        <v>1052092</v>
      </c>
      <c r="B49" s="390"/>
      <c r="C49" s="390"/>
      <c r="D49" s="390"/>
      <c r="E49" s="390"/>
      <c r="F49" s="390"/>
      <c r="G49" s="390"/>
      <c r="H49" s="390"/>
      <c r="I49" s="390"/>
      <c r="J49" s="390"/>
      <c r="K49" s="390"/>
      <c r="L49" s="390"/>
      <c r="M49" s="391"/>
      <c r="N49" s="32"/>
      <c r="O49" s="32"/>
      <c r="P49" s="32"/>
      <c r="Q49" s="32"/>
      <c r="R49" s="32"/>
      <c r="S49" s="32"/>
      <c r="T49" s="32"/>
      <c r="U49" s="32"/>
      <c r="V49" s="32"/>
      <c r="W49" s="32"/>
      <c r="X49" s="32"/>
      <c r="Y49" s="32"/>
      <c r="Z49" s="32"/>
      <c r="AA49" s="33"/>
      <c r="AB49" s="395" t="str">
        <f>A3</f>
        <v>PT. NUR INFINIT INDOALEA GLOBAL</v>
      </c>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6"/>
      <c r="BK49" s="396"/>
      <c r="BL49" s="397"/>
    </row>
    <row r="50" spans="1:64" ht="7.5" customHeight="1">
      <c r="A50" s="392"/>
      <c r="B50" s="393"/>
      <c r="C50" s="393"/>
      <c r="D50" s="393"/>
      <c r="E50" s="393"/>
      <c r="F50" s="393"/>
      <c r="G50" s="393"/>
      <c r="H50" s="393"/>
      <c r="I50" s="393"/>
      <c r="J50" s="393"/>
      <c r="K50" s="393"/>
      <c r="L50" s="393"/>
      <c r="M50" s="394"/>
      <c r="N50" s="34"/>
      <c r="O50" s="34"/>
      <c r="P50" s="34"/>
      <c r="Q50" s="34"/>
      <c r="R50" s="34"/>
      <c r="S50" s="34"/>
      <c r="T50" s="34"/>
      <c r="U50" s="34"/>
      <c r="V50" s="34"/>
      <c r="W50" s="34"/>
      <c r="X50" s="34"/>
      <c r="Y50" s="34"/>
      <c r="Z50" s="34"/>
      <c r="AA50" s="35"/>
      <c r="AB50" s="398"/>
      <c r="AC50" s="399"/>
      <c r="AD50" s="399"/>
      <c r="AE50" s="399"/>
      <c r="AF50" s="399"/>
      <c r="AG50" s="399"/>
      <c r="AH50" s="399"/>
      <c r="AI50" s="399"/>
      <c r="AJ50" s="399"/>
      <c r="AK50" s="399"/>
      <c r="AL50" s="399"/>
      <c r="AM50" s="399"/>
      <c r="AN50" s="399"/>
      <c r="AO50" s="399"/>
      <c r="AP50" s="399"/>
      <c r="AQ50" s="399"/>
      <c r="AR50" s="399"/>
      <c r="AS50" s="399"/>
      <c r="AT50" s="399"/>
      <c r="AU50" s="399"/>
      <c r="AV50" s="399"/>
      <c r="AW50" s="399"/>
      <c r="AX50" s="399"/>
      <c r="AY50" s="399"/>
      <c r="AZ50" s="399"/>
      <c r="BA50" s="399"/>
      <c r="BB50" s="399"/>
      <c r="BC50" s="399"/>
      <c r="BD50" s="399"/>
      <c r="BE50" s="399"/>
      <c r="BF50" s="399"/>
      <c r="BG50" s="399"/>
      <c r="BH50" s="399"/>
      <c r="BI50" s="399"/>
      <c r="BJ50" s="399"/>
      <c r="BK50" s="399"/>
      <c r="BL50" s="400"/>
    </row>
    <row r="51" spans="1:64" ht="15.75">
      <c r="A51" s="44"/>
      <c r="B51" s="45"/>
      <c r="C51" s="45"/>
      <c r="D51" s="45"/>
      <c r="E51" s="46"/>
      <c r="F51" s="46"/>
      <c r="G51" s="46"/>
      <c r="H51" s="46"/>
      <c r="I51" s="46"/>
      <c r="J51" s="46"/>
      <c r="K51" s="46"/>
      <c r="L51" s="46"/>
      <c r="M51" s="47"/>
      <c r="N51" s="48"/>
      <c r="O51" s="46"/>
      <c r="P51" s="46"/>
      <c r="Q51" s="46"/>
      <c r="R51" s="46"/>
      <c r="S51" s="46"/>
      <c r="T51" s="46"/>
      <c r="U51" s="46"/>
      <c r="V51" s="46"/>
      <c r="W51" s="46"/>
      <c r="X51" s="45"/>
      <c r="Y51" s="45"/>
      <c r="Z51" s="45"/>
      <c r="AA51" s="45"/>
      <c r="AB51" s="350" t="s">
        <v>61</v>
      </c>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2"/>
    </row>
    <row r="52" spans="1:64" ht="7.5" customHeight="1">
      <c r="A52" s="49"/>
      <c r="B52" s="50"/>
      <c r="C52" s="50"/>
      <c r="D52" s="50"/>
      <c r="E52" s="50"/>
      <c r="F52" s="50"/>
      <c r="G52" s="50"/>
      <c r="H52" s="50"/>
      <c r="I52" s="50"/>
      <c r="J52" s="50"/>
      <c r="K52" s="50"/>
      <c r="L52" s="50"/>
      <c r="M52" s="51"/>
      <c r="N52" s="49"/>
      <c r="O52" s="50"/>
      <c r="P52" s="50"/>
      <c r="Q52" s="50"/>
      <c r="R52" s="50"/>
      <c r="S52" s="50"/>
      <c r="T52" s="50"/>
      <c r="U52" s="50"/>
      <c r="V52" s="50"/>
      <c r="W52" s="50"/>
      <c r="X52" s="50"/>
      <c r="Y52" s="50"/>
      <c r="Z52" s="50"/>
      <c r="AA52" s="50"/>
      <c r="AB52" s="37"/>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3"/>
    </row>
    <row r="53" spans="1:64" ht="15.75">
      <c r="A53" s="355">
        <f>A41+A49</f>
        <v>7738492</v>
      </c>
      <c r="B53" s="401"/>
      <c r="C53" s="401"/>
      <c r="D53" s="401"/>
      <c r="E53" s="401"/>
      <c r="F53" s="401"/>
      <c r="G53" s="401"/>
      <c r="H53" s="401"/>
      <c r="I53" s="401"/>
      <c r="J53" s="401"/>
      <c r="K53" s="401"/>
      <c r="L53" s="401"/>
      <c r="M53" s="402"/>
      <c r="N53" s="37"/>
      <c r="O53" s="349"/>
      <c r="P53" s="349"/>
      <c r="Q53" s="349"/>
      <c r="R53" s="349"/>
      <c r="S53" s="349"/>
      <c r="T53" s="349"/>
      <c r="U53" s="349"/>
      <c r="V53" s="349"/>
      <c r="W53" s="349"/>
      <c r="X53" s="349"/>
      <c r="Y53" s="349"/>
      <c r="Z53" s="349"/>
      <c r="AA53" s="32"/>
      <c r="AB53" s="52"/>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9"/>
    </row>
    <row r="54" spans="1:64" ht="7.5" customHeight="1">
      <c r="A54" s="403"/>
      <c r="B54" s="404"/>
      <c r="C54" s="404"/>
      <c r="D54" s="404"/>
      <c r="E54" s="404"/>
      <c r="F54" s="404"/>
      <c r="G54" s="404"/>
      <c r="H54" s="404"/>
      <c r="I54" s="404"/>
      <c r="J54" s="404"/>
      <c r="K54" s="404"/>
      <c r="L54" s="404"/>
      <c r="M54" s="405"/>
      <c r="N54" s="40"/>
      <c r="O54" s="34"/>
      <c r="P54" s="34"/>
      <c r="Q54" s="34"/>
      <c r="R54" s="34"/>
      <c r="S54" s="34"/>
      <c r="T54" s="34"/>
      <c r="U54" s="34"/>
      <c r="V54" s="34"/>
      <c r="W54" s="34"/>
      <c r="X54" s="34"/>
      <c r="Y54" s="34"/>
      <c r="Z54" s="34"/>
      <c r="AA54" s="34"/>
      <c r="AB54" s="52"/>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9"/>
    </row>
    <row r="55" spans="1:64" ht="15.75">
      <c r="A55" s="37"/>
      <c r="B55" s="349"/>
      <c r="C55" s="349"/>
      <c r="D55" s="349"/>
      <c r="E55" s="349"/>
      <c r="F55" s="349"/>
      <c r="G55" s="349"/>
      <c r="H55" s="349"/>
      <c r="I55" s="349"/>
      <c r="J55" s="349"/>
      <c r="K55" s="349"/>
      <c r="L55" s="349"/>
      <c r="M55" s="33"/>
      <c r="N55" s="37"/>
      <c r="O55" s="349"/>
      <c r="P55" s="349"/>
      <c r="Q55" s="349"/>
      <c r="R55" s="349"/>
      <c r="S55" s="349"/>
      <c r="T55" s="349"/>
      <c r="U55" s="349"/>
      <c r="V55" s="349"/>
      <c r="W55" s="349"/>
      <c r="X55" s="349"/>
      <c r="Y55" s="349"/>
      <c r="Z55" s="349"/>
      <c r="AA55" s="32"/>
      <c r="AB55" s="58"/>
      <c r="AC55" s="353">
        <f>'1'!AC52</f>
        <v>46171</v>
      </c>
      <c r="AD55" s="354"/>
      <c r="AE55" s="354"/>
      <c r="AF55" s="354"/>
      <c r="AG55" s="354"/>
      <c r="AH55" s="354"/>
      <c r="AI55" s="354"/>
      <c r="AJ55" s="354"/>
      <c r="AK55" s="354"/>
      <c r="AL55" s="55"/>
      <c r="AM55" s="55"/>
      <c r="AN55" s="55"/>
      <c r="AO55" s="354" t="str">
        <f>'1'!AO52</f>
        <v>CGK</v>
      </c>
      <c r="AP55" s="354"/>
      <c r="AQ55" s="354"/>
      <c r="AR55" s="354"/>
      <c r="AS55" s="55"/>
      <c r="AT55" s="55"/>
      <c r="AU55" s="55"/>
      <c r="AV55" s="55"/>
      <c r="AW55" s="55"/>
      <c r="AX55" s="55"/>
      <c r="AY55" s="55"/>
      <c r="AZ55" s="55"/>
      <c r="BA55" s="55"/>
      <c r="BB55" s="55"/>
      <c r="BC55" s="55"/>
      <c r="BD55" s="55"/>
      <c r="BE55" s="55"/>
      <c r="BF55" s="55"/>
      <c r="BG55" s="55"/>
      <c r="BH55" s="55"/>
      <c r="BI55" s="55"/>
      <c r="BJ55" s="55"/>
      <c r="BK55" s="55"/>
      <c r="BL55" s="56"/>
    </row>
    <row r="56" spans="1:64" ht="7.5" customHeight="1">
      <c r="A56" s="40"/>
      <c r="B56" s="34"/>
      <c r="C56" s="34"/>
      <c r="D56" s="34"/>
      <c r="E56" s="34"/>
      <c r="F56" s="34"/>
      <c r="G56" s="34"/>
      <c r="H56" s="34"/>
      <c r="I56" s="34"/>
      <c r="J56" s="34"/>
      <c r="K56" s="34"/>
      <c r="L56" s="34"/>
      <c r="M56" s="35"/>
      <c r="N56" s="40"/>
      <c r="O56" s="34"/>
      <c r="P56" s="34"/>
      <c r="Q56" s="34"/>
      <c r="R56" s="34"/>
      <c r="S56" s="34"/>
      <c r="T56" s="34"/>
      <c r="U56" s="34"/>
      <c r="V56" s="34"/>
      <c r="W56" s="34"/>
      <c r="X56" s="34"/>
      <c r="Y56" s="34"/>
      <c r="Z56" s="34"/>
      <c r="AA56" s="34"/>
      <c r="AB56" s="374" t="s">
        <v>62</v>
      </c>
      <c r="AC56" s="375"/>
      <c r="AD56" s="375"/>
      <c r="AE56" s="375"/>
      <c r="AF56" s="375"/>
      <c r="AG56" s="375"/>
      <c r="AH56" s="30"/>
      <c r="AI56" s="30"/>
      <c r="AJ56" s="375" t="s">
        <v>63</v>
      </c>
      <c r="AK56" s="375"/>
      <c r="AL56" s="375"/>
      <c r="AM56" s="30"/>
      <c r="AN56" s="30"/>
      <c r="AO56" s="30"/>
      <c r="AP56" s="375" t="s">
        <v>64</v>
      </c>
      <c r="AQ56" s="375"/>
      <c r="AR56" s="30"/>
      <c r="AS56" s="30"/>
      <c r="AT56" s="30"/>
      <c r="AU56" s="375" t="s">
        <v>65</v>
      </c>
      <c r="AV56" s="375"/>
      <c r="AW56" s="375"/>
      <c r="AX56" s="375"/>
      <c r="AY56" s="375"/>
      <c r="AZ56" s="30"/>
      <c r="BA56" s="375" t="s">
        <v>66</v>
      </c>
      <c r="BB56" s="375"/>
      <c r="BC56" s="375"/>
      <c r="BD56" s="375"/>
      <c r="BE56" s="375"/>
      <c r="BF56" s="375"/>
      <c r="BG56" s="375"/>
      <c r="BH56" s="375"/>
      <c r="BI56" s="375"/>
      <c r="BJ56" s="375"/>
      <c r="BK56" s="375"/>
      <c r="BL56" s="376"/>
    </row>
    <row r="57" spans="1:64" ht="15.75">
      <c r="A57" s="279" t="s">
        <v>67</v>
      </c>
      <c r="B57" s="277"/>
      <c r="C57" s="277"/>
      <c r="D57" s="277"/>
      <c r="E57" s="277"/>
      <c r="F57" s="277"/>
      <c r="G57" s="277"/>
      <c r="H57" s="277"/>
      <c r="I57" s="277"/>
      <c r="J57" s="277"/>
      <c r="K57" s="277"/>
      <c r="L57" s="277"/>
      <c r="M57" s="278"/>
      <c r="N57" s="37"/>
      <c r="O57" s="349"/>
      <c r="P57" s="349"/>
      <c r="Q57" s="349"/>
      <c r="R57" s="349"/>
      <c r="S57" s="349"/>
      <c r="T57" s="349"/>
      <c r="U57" s="349"/>
      <c r="V57" s="349"/>
      <c r="W57" s="349"/>
      <c r="X57" s="349"/>
      <c r="Y57" s="349"/>
      <c r="Z57" s="349"/>
      <c r="AA57" s="32"/>
      <c r="AB57" s="52"/>
      <c r="AC57" s="377"/>
      <c r="AD57" s="377"/>
      <c r="AE57" s="377"/>
      <c r="AF57" s="377"/>
      <c r="AG57" s="377"/>
      <c r="AH57" s="377"/>
      <c r="AI57" s="377"/>
      <c r="AJ57" s="377"/>
      <c r="AK57" s="377"/>
      <c r="AL57" s="377"/>
      <c r="AM57" s="377"/>
      <c r="AN57" s="39"/>
      <c r="AO57" s="385" t="str">
        <f>AT1</f>
        <v>126-91929552</v>
      </c>
      <c r="AP57" s="386"/>
      <c r="AQ57" s="386"/>
      <c r="AR57" s="386"/>
      <c r="AS57" s="386"/>
      <c r="AT57" s="386"/>
      <c r="AU57" s="386"/>
      <c r="AV57" s="386"/>
      <c r="AW57" s="386"/>
      <c r="AX57" s="386"/>
      <c r="AY57" s="386"/>
      <c r="AZ57" s="386"/>
      <c r="BA57" s="386"/>
      <c r="BB57" s="386"/>
      <c r="BC57" s="386"/>
      <c r="BD57" s="386"/>
      <c r="BE57" s="386"/>
      <c r="BF57" s="386"/>
      <c r="BG57" s="386"/>
      <c r="BH57" s="386"/>
      <c r="BI57" s="386"/>
      <c r="BJ57" s="386"/>
      <c r="BK57" s="386"/>
      <c r="BL57" s="386"/>
    </row>
    <row r="58" spans="1:64" ht="7.5" customHeight="1">
      <c r="A58" s="374"/>
      <c r="B58" s="375"/>
      <c r="C58" s="375"/>
      <c r="D58" s="375"/>
      <c r="E58" s="375"/>
      <c r="F58" s="375"/>
      <c r="G58" s="375"/>
      <c r="H58" s="375"/>
      <c r="I58" s="375"/>
      <c r="J58" s="375"/>
      <c r="K58" s="375"/>
      <c r="L58" s="375"/>
      <c r="M58" s="376"/>
      <c r="N58" s="40"/>
      <c r="O58" s="34"/>
      <c r="P58" s="34"/>
      <c r="Q58" s="34"/>
      <c r="R58" s="34"/>
      <c r="S58" s="34"/>
      <c r="T58" s="34"/>
      <c r="U58" s="34"/>
      <c r="V58" s="34"/>
      <c r="W58" s="34"/>
      <c r="X58" s="34"/>
      <c r="Y58" s="34"/>
      <c r="Z58" s="34"/>
      <c r="AA58" s="34"/>
      <c r="AB58" s="40"/>
      <c r="AC58" s="34"/>
      <c r="AD58" s="34"/>
      <c r="AE58" s="34"/>
      <c r="AF58" s="34"/>
      <c r="AG58" s="34"/>
      <c r="AH58" s="34"/>
      <c r="AI58" s="34"/>
      <c r="AJ58" s="34"/>
      <c r="AK58" s="34"/>
      <c r="AL58" s="34"/>
      <c r="AM58" s="34"/>
      <c r="AN58" s="35"/>
      <c r="AO58" s="387"/>
      <c r="AP58" s="388"/>
      <c r="AQ58" s="388"/>
      <c r="AR58" s="388"/>
      <c r="AS58" s="388"/>
      <c r="AT58" s="388"/>
      <c r="AU58" s="388"/>
      <c r="AV58" s="388"/>
      <c r="AW58" s="388"/>
      <c r="AX58" s="388"/>
      <c r="AY58" s="388"/>
      <c r="AZ58" s="388"/>
      <c r="BA58" s="388"/>
      <c r="BB58" s="388"/>
      <c r="BC58" s="388"/>
      <c r="BD58" s="388"/>
      <c r="BE58" s="388"/>
      <c r="BF58" s="388"/>
      <c r="BG58" s="388"/>
      <c r="BH58" s="388"/>
      <c r="BI58" s="388"/>
      <c r="BJ58" s="388"/>
      <c r="BK58" s="388"/>
      <c r="BL58" s="388"/>
    </row>
    <row r="59" spans="1:64" ht="15.75">
      <c r="A59" s="378" t="s">
        <v>77</v>
      </c>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c r="BF59" s="378"/>
      <c r="BG59" s="378"/>
      <c r="BH59" s="378"/>
      <c r="BI59" s="378"/>
      <c r="BJ59" s="378"/>
      <c r="BK59" s="378"/>
      <c r="BL59" s="378"/>
    </row>
  </sheetData>
  <mergeCells count="100">
    <mergeCell ref="AH13:BL19"/>
    <mergeCell ref="A14:AG15"/>
    <mergeCell ref="A16:P17"/>
    <mergeCell ref="Q16:AG17"/>
    <mergeCell ref="A4:AG6"/>
    <mergeCell ref="AH7:BL12"/>
    <mergeCell ref="A9:AG12"/>
    <mergeCell ref="AN2:BL5"/>
    <mergeCell ref="A7:S7"/>
    <mergeCell ref="T7:AG7"/>
    <mergeCell ref="A13:AG13"/>
    <mergeCell ref="A18:AG18"/>
    <mergeCell ref="A19:AG19"/>
    <mergeCell ref="AL20:AM21"/>
    <mergeCell ref="A26:BL26"/>
    <mergeCell ref="L27:Q27"/>
    <mergeCell ref="M28:Q28"/>
    <mergeCell ref="AS27:BL28"/>
    <mergeCell ref="A22:Q22"/>
    <mergeCell ref="R22:U22"/>
    <mergeCell ref="V22:AC22"/>
    <mergeCell ref="A20:C21"/>
    <mergeCell ref="V20:X21"/>
    <mergeCell ref="Y20:AA21"/>
    <mergeCell ref="AB20:AD21"/>
    <mergeCell ref="AE20:AG21"/>
    <mergeCell ref="O57:Z57"/>
    <mergeCell ref="AC57:AM57"/>
    <mergeCell ref="A59:BL59"/>
    <mergeCell ref="J27:J28"/>
    <mergeCell ref="J29:J40"/>
    <mergeCell ref="K27:K40"/>
    <mergeCell ref="L29:L40"/>
    <mergeCell ref="R27:R40"/>
    <mergeCell ref="Z27:Z40"/>
    <mergeCell ref="AH27:AH40"/>
    <mergeCell ref="AR27:AR40"/>
    <mergeCell ref="A57:M58"/>
    <mergeCell ref="AO57:BL58"/>
    <mergeCell ref="A49:M50"/>
    <mergeCell ref="AB49:BL50"/>
    <mergeCell ref="A53:M54"/>
    <mergeCell ref="AS29:BL40"/>
    <mergeCell ref="S29:Y40"/>
    <mergeCell ref="A40:C40"/>
    <mergeCell ref="AB56:AG56"/>
    <mergeCell ref="AJ56:AL56"/>
    <mergeCell ref="AP56:AQ56"/>
    <mergeCell ref="AU56:AY56"/>
    <mergeCell ref="BA56:BL56"/>
    <mergeCell ref="S41:Y41"/>
    <mergeCell ref="AB51:BL51"/>
    <mergeCell ref="O53:Z53"/>
    <mergeCell ref="B55:L55"/>
    <mergeCell ref="O55:Z55"/>
    <mergeCell ref="AC55:AK55"/>
    <mergeCell ref="AO55:AR55"/>
    <mergeCell ref="A41:M42"/>
    <mergeCell ref="AI41:AQ42"/>
    <mergeCell ref="AB43:BL44"/>
    <mergeCell ref="AB45:BL46"/>
    <mergeCell ref="AB47:BL48"/>
    <mergeCell ref="A27:C28"/>
    <mergeCell ref="D27:I28"/>
    <mergeCell ref="A23:Q23"/>
    <mergeCell ref="Z23:AG23"/>
    <mergeCell ref="AH23:AQ23"/>
    <mergeCell ref="A24:BL24"/>
    <mergeCell ref="A25:BL25"/>
    <mergeCell ref="S27:Y28"/>
    <mergeCell ref="AR22:BL23"/>
    <mergeCell ref="AI27:AQ28"/>
    <mergeCell ref="D40:I40"/>
    <mergeCell ref="AI40:AQ40"/>
    <mergeCell ref="A29:C39"/>
    <mergeCell ref="D29:I39"/>
    <mergeCell ref="M29:Q40"/>
    <mergeCell ref="AA29:AG40"/>
    <mergeCell ref="AI29:AQ39"/>
    <mergeCell ref="AD22:AG22"/>
    <mergeCell ref="AH22:AQ22"/>
    <mergeCell ref="BE20:BL20"/>
    <mergeCell ref="D21:U21"/>
    <mergeCell ref="AH21:AK21"/>
    <mergeCell ref="AN21:AO21"/>
    <mergeCell ref="AP21:AQ21"/>
    <mergeCell ref="AR21:AS21"/>
    <mergeCell ref="AT21:AU21"/>
    <mergeCell ref="AV21:BD21"/>
    <mergeCell ref="BE21:BL21"/>
    <mergeCell ref="D20:U20"/>
    <mergeCell ref="AH20:AK20"/>
    <mergeCell ref="AN20:AQ20"/>
    <mergeCell ref="AR20:AU20"/>
    <mergeCell ref="AV20:BD20"/>
    <mergeCell ref="A1:C1"/>
    <mergeCell ref="D1:F1"/>
    <mergeCell ref="G1:S1"/>
    <mergeCell ref="AT1:BJ1"/>
    <mergeCell ref="AH6:BL6"/>
  </mergeCells>
  <pageMargins left="0.23958333333333301" right="0.23958333333333301" top="0" bottom="0.75" header="0" footer="0.30972222222222201"/>
  <pageSetup paperSize="9" scale="90" orientation="portrait" verticalDpi="203" r:id="rId1"/>
  <headerFooter>
    <oddFooter>&amp;C&amp;"Arial,Regular"&amp;12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L54"/>
  <sheetViews>
    <sheetView showGridLines="0" view="pageLayout" topLeftCell="A21" zoomScale="111" zoomScaleNormal="100" zoomScalePageLayoutView="111" workbookViewId="0">
      <selection activeCell="S29" sqref="S29:Y35"/>
    </sheetView>
  </sheetViews>
  <sheetFormatPr defaultColWidth="9" defaultRowHeight="15"/>
  <cols>
    <col min="1" max="65" width="1.5703125" customWidth="1"/>
  </cols>
  <sheetData>
    <row r="1" spans="1:64" ht="22.5" customHeight="1">
      <c r="A1" s="264">
        <f>'1'!A1</f>
        <v>126</v>
      </c>
      <c r="B1" s="264"/>
      <c r="C1" s="265"/>
      <c r="D1" s="1133" t="s">
        <v>0</v>
      </c>
      <c r="E1" s="458"/>
      <c r="F1" s="1134"/>
      <c r="G1" s="269">
        <f>'1'!G1</f>
        <v>91929552</v>
      </c>
      <c r="H1" s="270"/>
      <c r="I1" s="270"/>
      <c r="J1" s="270"/>
      <c r="K1" s="270"/>
      <c r="L1" s="270"/>
      <c r="M1" s="270"/>
      <c r="N1" s="270"/>
      <c r="O1" s="270"/>
      <c r="P1" s="270"/>
      <c r="Q1" s="270"/>
      <c r="R1" s="270"/>
      <c r="S1" s="270"/>
      <c r="AT1" s="267" t="str">
        <f>'1'!AT1</f>
        <v>126-91929552</v>
      </c>
      <c r="AU1" s="267"/>
      <c r="AV1" s="267"/>
      <c r="AW1" s="267"/>
      <c r="AX1" s="267"/>
      <c r="AY1" s="267"/>
      <c r="AZ1" s="267"/>
      <c r="BA1" s="267"/>
      <c r="BB1" s="267"/>
      <c r="BC1" s="267"/>
      <c r="BD1" s="267"/>
      <c r="BE1" s="267"/>
      <c r="BF1" s="267"/>
      <c r="BG1" s="267"/>
      <c r="BH1" s="267"/>
      <c r="BI1" s="267"/>
      <c r="BJ1" s="267"/>
    </row>
    <row r="2" spans="1:64">
      <c r="A2" s="1" t="s">
        <v>1</v>
      </c>
      <c r="B2" s="2"/>
      <c r="C2" s="2"/>
      <c r="D2" s="2"/>
      <c r="E2" s="2"/>
      <c r="F2" s="2"/>
      <c r="G2" s="2"/>
      <c r="H2" s="2"/>
      <c r="I2" s="2"/>
      <c r="J2" s="2"/>
      <c r="K2" s="2"/>
      <c r="L2" s="2"/>
      <c r="M2" s="2"/>
      <c r="N2" s="2"/>
      <c r="O2" s="2"/>
      <c r="P2" s="2"/>
      <c r="Q2" s="2"/>
      <c r="R2" s="2"/>
      <c r="S2" s="2"/>
      <c r="T2" s="1" t="s">
        <v>2</v>
      </c>
      <c r="U2" s="2"/>
      <c r="V2" s="2"/>
      <c r="W2" s="2"/>
      <c r="X2" s="2"/>
      <c r="Y2" s="2"/>
      <c r="Z2" s="2"/>
      <c r="AA2" s="2"/>
      <c r="AB2" s="2"/>
      <c r="AC2" s="2"/>
      <c r="AD2" s="2"/>
      <c r="AE2" s="2"/>
      <c r="AF2" s="2"/>
      <c r="AG2" s="3"/>
      <c r="AH2" s="4" t="s">
        <v>3</v>
      </c>
      <c r="AI2" s="4"/>
      <c r="AJ2" s="4"/>
      <c r="AK2" s="4"/>
      <c r="AL2" s="4"/>
      <c r="AM2" s="4"/>
      <c r="AN2" s="449" t="str">
        <f>'1'!AN2</f>
        <v>GARUDA INDONESIA</v>
      </c>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50"/>
    </row>
    <row r="3" spans="1:64" ht="16.5">
      <c r="A3" s="5" t="str">
        <f>'1'!A3</f>
        <v>PT. NUR INFINIT INDOALEA GLOBAL</v>
      </c>
      <c r="B3" s="6"/>
      <c r="C3" s="6"/>
      <c r="D3" s="6"/>
      <c r="E3" s="6"/>
      <c r="F3" s="6"/>
      <c r="G3" s="6"/>
      <c r="H3" s="6"/>
      <c r="I3" s="6"/>
      <c r="J3" s="6"/>
      <c r="K3" s="6"/>
      <c r="L3" s="6"/>
      <c r="M3" s="6"/>
      <c r="N3" s="6"/>
      <c r="O3" s="6"/>
      <c r="P3" s="6"/>
      <c r="Q3" s="6"/>
      <c r="R3" s="6"/>
      <c r="S3" s="6"/>
      <c r="T3" s="7"/>
      <c r="U3" s="8"/>
      <c r="V3" s="8"/>
      <c r="W3" s="8"/>
      <c r="X3" s="8"/>
      <c r="Y3" s="8"/>
      <c r="Z3" s="8"/>
      <c r="AA3" s="8"/>
      <c r="AB3" s="8"/>
      <c r="AC3" s="8"/>
      <c r="AD3" s="8"/>
      <c r="AE3" s="8"/>
      <c r="AF3" s="8"/>
      <c r="AG3" s="9"/>
      <c r="AH3" s="1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2"/>
    </row>
    <row r="4" spans="1:64">
      <c r="A4" s="440"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12"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2"/>
    </row>
    <row r="5" spans="1:64">
      <c r="A5" s="442"/>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441"/>
      <c r="AH5" s="13"/>
      <c r="AI5" s="14"/>
      <c r="AJ5" s="14"/>
      <c r="AK5" s="14"/>
      <c r="AL5" s="14"/>
      <c r="AM5" s="14"/>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4"/>
    </row>
    <row r="6" spans="1:64">
      <c r="A6" s="442"/>
      <c r="B6" s="441"/>
      <c r="C6" s="441"/>
      <c r="D6" s="441"/>
      <c r="E6" s="441"/>
      <c r="F6" s="441"/>
      <c r="G6" s="441"/>
      <c r="H6" s="441"/>
      <c r="I6" s="441"/>
      <c r="J6" s="441"/>
      <c r="K6" s="441"/>
      <c r="L6" s="441"/>
      <c r="M6" s="441"/>
      <c r="N6" s="441"/>
      <c r="O6" s="441"/>
      <c r="P6" s="441"/>
      <c r="Q6" s="441"/>
      <c r="R6" s="441"/>
      <c r="S6" s="441"/>
      <c r="T6" s="443"/>
      <c r="U6" s="443"/>
      <c r="V6" s="443"/>
      <c r="W6" s="443"/>
      <c r="X6" s="443"/>
      <c r="Y6" s="443"/>
      <c r="Z6" s="443"/>
      <c r="AA6" s="443"/>
      <c r="AB6" s="443"/>
      <c r="AC6" s="443"/>
      <c r="AD6" s="443"/>
      <c r="AE6" s="443"/>
      <c r="AF6" s="443"/>
      <c r="AG6" s="444"/>
      <c r="AH6" s="271" t="s">
        <v>9</v>
      </c>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row>
    <row r="7" spans="1:64">
      <c r="A7" s="455" t="s">
        <v>10</v>
      </c>
      <c r="B7" s="337"/>
      <c r="C7" s="337"/>
      <c r="D7" s="337"/>
      <c r="E7" s="337"/>
      <c r="F7" s="337"/>
      <c r="G7" s="337"/>
      <c r="H7" s="337"/>
      <c r="I7" s="337"/>
      <c r="J7" s="337"/>
      <c r="K7" s="337"/>
      <c r="L7" s="337"/>
      <c r="M7" s="337"/>
      <c r="N7" s="337"/>
      <c r="O7" s="337"/>
      <c r="P7" s="337"/>
      <c r="Q7" s="337"/>
      <c r="R7" s="337"/>
      <c r="S7" s="337"/>
      <c r="T7" s="455" t="s">
        <v>11</v>
      </c>
      <c r="U7" s="337"/>
      <c r="V7" s="337"/>
      <c r="W7" s="337"/>
      <c r="X7" s="337"/>
      <c r="Y7" s="337"/>
      <c r="Z7" s="337"/>
      <c r="AA7" s="337"/>
      <c r="AB7" s="337"/>
      <c r="AC7" s="337"/>
      <c r="AD7" s="337"/>
      <c r="AE7" s="337"/>
      <c r="AF7" s="337"/>
      <c r="AG7" s="338"/>
      <c r="AH7" s="445" t="s">
        <v>12</v>
      </c>
      <c r="AI7" s="446"/>
      <c r="AJ7" s="446"/>
      <c r="AK7" s="446"/>
      <c r="AL7" s="446"/>
      <c r="AM7" s="446"/>
      <c r="AN7" s="446"/>
      <c r="AO7" s="446"/>
      <c r="AP7" s="446"/>
      <c r="AQ7" s="446"/>
      <c r="AR7" s="446"/>
      <c r="AS7" s="446"/>
      <c r="AT7" s="446"/>
      <c r="AU7" s="446"/>
      <c r="AV7" s="446"/>
      <c r="AW7" s="446"/>
      <c r="AX7" s="446"/>
      <c r="AY7" s="446"/>
      <c r="AZ7" s="446"/>
      <c r="BA7" s="446"/>
      <c r="BB7" s="446"/>
      <c r="BC7" s="446"/>
      <c r="BD7" s="446"/>
      <c r="BE7" s="446"/>
      <c r="BF7" s="446"/>
      <c r="BG7" s="446"/>
      <c r="BH7" s="446"/>
      <c r="BI7" s="446"/>
      <c r="BJ7" s="446"/>
      <c r="BK7" s="446"/>
      <c r="BL7" s="446"/>
    </row>
    <row r="8" spans="1:64">
      <c r="A8" s="263" t="str">
        <f>'1'!A8</f>
        <v>LINEHAUL EXPRESS SINGAPORE PTE LTD</v>
      </c>
      <c r="B8" s="15"/>
      <c r="C8" s="15"/>
      <c r="D8" s="15"/>
      <c r="E8" s="15"/>
      <c r="F8" s="15"/>
      <c r="G8" s="15"/>
      <c r="H8" s="15"/>
      <c r="I8" s="15"/>
      <c r="J8" s="15"/>
      <c r="K8" s="15"/>
      <c r="L8" s="15"/>
      <c r="M8" s="15"/>
      <c r="N8" s="15"/>
      <c r="O8" s="15"/>
      <c r="P8" s="15"/>
      <c r="Q8" s="15"/>
      <c r="R8" s="15"/>
      <c r="S8" s="15"/>
      <c r="T8" s="7"/>
      <c r="U8" s="8"/>
      <c r="V8" s="8"/>
      <c r="W8" s="8"/>
      <c r="X8" s="8"/>
      <c r="Y8" s="8"/>
      <c r="Z8" s="8"/>
      <c r="AA8" s="8"/>
      <c r="AB8" s="8"/>
      <c r="AC8" s="8"/>
      <c r="AD8" s="8"/>
      <c r="AE8" s="8"/>
      <c r="AF8" s="8"/>
      <c r="AG8" s="9"/>
      <c r="AH8" s="447"/>
      <c r="AI8" s="446"/>
      <c r="AJ8" s="446"/>
      <c r="AK8" s="446"/>
      <c r="AL8" s="446"/>
      <c r="AM8" s="446"/>
      <c r="AN8" s="446"/>
      <c r="AO8" s="446"/>
      <c r="AP8" s="446"/>
      <c r="AQ8" s="446"/>
      <c r="AR8" s="446"/>
      <c r="AS8" s="446"/>
      <c r="AT8" s="446"/>
      <c r="AU8" s="446"/>
      <c r="AV8" s="446"/>
      <c r="AW8" s="446"/>
      <c r="AX8" s="446"/>
      <c r="AY8" s="446"/>
      <c r="AZ8" s="446"/>
      <c r="BA8" s="446"/>
      <c r="BB8" s="446"/>
      <c r="BC8" s="446"/>
      <c r="BD8" s="446"/>
      <c r="BE8" s="446"/>
      <c r="BF8" s="446"/>
      <c r="BG8" s="446"/>
      <c r="BH8" s="446"/>
      <c r="BI8" s="446"/>
      <c r="BJ8" s="446"/>
      <c r="BK8" s="446"/>
      <c r="BL8" s="446"/>
    </row>
    <row r="9" spans="1:64">
      <c r="A9" s="448"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447"/>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row>
    <row r="10" spans="1:64">
      <c r="A10" s="339"/>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447"/>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row>
    <row r="11" spans="1:64">
      <c r="A11" s="339"/>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1"/>
      <c r="AH11" s="447"/>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row>
    <row r="12" spans="1:64">
      <c r="A12" s="339"/>
      <c r="B12" s="340"/>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1"/>
      <c r="AH12" s="447"/>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46"/>
      <c r="BE12" s="446"/>
      <c r="BF12" s="446"/>
      <c r="BG12" s="446"/>
      <c r="BH12" s="446"/>
      <c r="BI12" s="446"/>
      <c r="BJ12" s="446"/>
      <c r="BK12" s="446"/>
      <c r="BL12" s="446"/>
    </row>
    <row r="13" spans="1:64">
      <c r="A13" s="455" t="s">
        <v>15</v>
      </c>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8"/>
      <c r="AH13" s="337" t="s">
        <v>16</v>
      </c>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8"/>
    </row>
    <row r="14" spans="1:64">
      <c r="A14" s="433"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5"/>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431"/>
    </row>
    <row r="15" spans="1:64">
      <c r="A15" s="436"/>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8"/>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431"/>
    </row>
    <row r="16" spans="1:64">
      <c r="A16" s="417" t="s">
        <v>18</v>
      </c>
      <c r="B16" s="417"/>
      <c r="C16" s="417"/>
      <c r="D16" s="417"/>
      <c r="E16" s="417"/>
      <c r="F16" s="417"/>
      <c r="G16" s="417"/>
      <c r="H16" s="417"/>
      <c r="I16" s="417"/>
      <c r="J16" s="417"/>
      <c r="K16" s="417"/>
      <c r="L16" s="417"/>
      <c r="M16" s="417"/>
      <c r="N16" s="417"/>
      <c r="O16" s="417"/>
      <c r="P16" s="417"/>
      <c r="Q16" s="417" t="s">
        <v>19</v>
      </c>
      <c r="R16" s="417"/>
      <c r="S16" s="417"/>
      <c r="T16" s="417"/>
      <c r="U16" s="417"/>
      <c r="V16" s="417"/>
      <c r="W16" s="417"/>
      <c r="X16" s="417"/>
      <c r="Y16" s="417"/>
      <c r="Z16" s="417"/>
      <c r="AA16" s="417"/>
      <c r="AB16" s="417"/>
      <c r="AC16" s="417"/>
      <c r="AD16" s="417"/>
      <c r="AE16" s="417"/>
      <c r="AF16" s="417"/>
      <c r="AG16" s="417"/>
      <c r="AH16" s="335"/>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431"/>
    </row>
    <row r="17" spans="1:64">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335"/>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431"/>
    </row>
    <row r="18" spans="1:64">
      <c r="A18" s="455" t="s">
        <v>20</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8"/>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431"/>
    </row>
    <row r="19" spans="1:64">
      <c r="A19" s="436" t="str">
        <f>'1'!A19</f>
        <v>SOEKARNO-HATTA INTERNATIONAL AIRPORT</v>
      </c>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8"/>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2"/>
      <c r="BK19" s="432"/>
      <c r="BL19" s="416"/>
    </row>
    <row r="20" spans="1:64" ht="15" customHeight="1">
      <c r="A20" s="413" t="str">
        <f>'1'!A20</f>
        <v>SIN</v>
      </c>
      <c r="B20" s="413"/>
      <c r="C20" s="286"/>
      <c r="D20" s="294" t="s">
        <v>23</v>
      </c>
      <c r="E20" s="295"/>
      <c r="F20" s="295"/>
      <c r="G20" s="295"/>
      <c r="H20" s="295"/>
      <c r="I20" s="295"/>
      <c r="J20" s="295"/>
      <c r="K20" s="295"/>
      <c r="L20" s="295"/>
      <c r="M20" s="295"/>
      <c r="N20" s="295"/>
      <c r="O20" s="295"/>
      <c r="P20" s="295"/>
      <c r="Q20" s="295"/>
      <c r="R20" s="295"/>
      <c r="S20" s="295"/>
      <c r="T20" s="295"/>
      <c r="U20" s="296"/>
      <c r="V20" s="416" t="s">
        <v>26</v>
      </c>
      <c r="W20" s="417"/>
      <c r="X20" s="417"/>
      <c r="Y20" s="417" t="s">
        <v>27</v>
      </c>
      <c r="Z20" s="417"/>
      <c r="AA20" s="417"/>
      <c r="AB20" s="417" t="s">
        <v>26</v>
      </c>
      <c r="AC20" s="417"/>
      <c r="AD20" s="417"/>
      <c r="AE20" s="417" t="s">
        <v>27</v>
      </c>
      <c r="AF20" s="417"/>
      <c r="AG20" s="417"/>
      <c r="AH20" s="276" t="s">
        <v>28</v>
      </c>
      <c r="AI20" s="277"/>
      <c r="AJ20" s="277"/>
      <c r="AK20" s="278"/>
      <c r="AL20" s="420" t="s">
        <v>29</v>
      </c>
      <c r="AM20" s="421"/>
      <c r="AN20" s="297" t="s">
        <v>30</v>
      </c>
      <c r="AO20" s="297"/>
      <c r="AP20" s="297"/>
      <c r="AQ20" s="297"/>
      <c r="AR20" s="297" t="s">
        <v>31</v>
      </c>
      <c r="AS20" s="297"/>
      <c r="AT20" s="297"/>
      <c r="AU20" s="297"/>
      <c r="AV20" s="279" t="s">
        <v>32</v>
      </c>
      <c r="AW20" s="280"/>
      <c r="AX20" s="280"/>
      <c r="AY20" s="280"/>
      <c r="AZ20" s="280"/>
      <c r="BA20" s="280"/>
      <c r="BB20" s="280"/>
      <c r="BC20" s="280"/>
      <c r="BD20" s="281"/>
      <c r="BE20" s="279" t="s">
        <v>33</v>
      </c>
      <c r="BF20" s="280"/>
      <c r="BG20" s="280"/>
      <c r="BH20" s="280"/>
      <c r="BI20" s="280"/>
      <c r="BJ20" s="280"/>
      <c r="BK20" s="280"/>
      <c r="BL20" s="281"/>
    </row>
    <row r="21" spans="1:64">
      <c r="A21" s="414"/>
      <c r="B21" s="414"/>
      <c r="C21" s="415"/>
      <c r="D21" s="282" t="str">
        <f>'1'!D21</f>
        <v>GARUDA INDONESIA</v>
      </c>
      <c r="E21" s="283"/>
      <c r="F21" s="283"/>
      <c r="G21" s="283"/>
      <c r="H21" s="283"/>
      <c r="I21" s="283"/>
      <c r="J21" s="283"/>
      <c r="K21" s="283"/>
      <c r="L21" s="283"/>
      <c r="M21" s="283"/>
      <c r="N21" s="283"/>
      <c r="O21" s="283"/>
      <c r="P21" s="283"/>
      <c r="Q21" s="283"/>
      <c r="R21" s="284"/>
      <c r="S21" s="284"/>
      <c r="T21" s="284"/>
      <c r="U21" s="285"/>
      <c r="V21" s="418"/>
      <c r="W21" s="419"/>
      <c r="X21" s="419"/>
      <c r="Y21" s="419"/>
      <c r="Z21" s="419"/>
      <c r="AA21" s="419"/>
      <c r="AB21" s="419"/>
      <c r="AC21" s="419"/>
      <c r="AD21" s="419"/>
      <c r="AE21" s="419"/>
      <c r="AF21" s="419"/>
      <c r="AG21" s="419"/>
      <c r="AH21" s="286" t="str">
        <f>'1'!AH21</f>
        <v>IDR</v>
      </c>
      <c r="AI21" s="287"/>
      <c r="AJ21" s="287"/>
      <c r="AK21" s="288"/>
      <c r="AL21" s="421"/>
      <c r="AM21" s="421"/>
      <c r="AN21" s="289" t="s">
        <v>72</v>
      </c>
      <c r="AO21" s="290"/>
      <c r="AP21" s="289" t="s">
        <v>73</v>
      </c>
      <c r="AQ21" s="290"/>
      <c r="AR21" s="289" t="s">
        <v>72</v>
      </c>
      <c r="AS21" s="290"/>
      <c r="AT21" s="290" t="s">
        <v>36</v>
      </c>
      <c r="AU21" s="290"/>
      <c r="AV21" s="291" t="str">
        <f>'1'!AV21</f>
        <v>NVD</v>
      </c>
      <c r="AW21" s="292"/>
      <c r="AX21" s="292"/>
      <c r="AY21" s="292"/>
      <c r="AZ21" s="292"/>
      <c r="BA21" s="292"/>
      <c r="BB21" s="292"/>
      <c r="BC21" s="292"/>
      <c r="BD21" s="293"/>
      <c r="BE21" s="291" t="str">
        <f>'1'!BE21</f>
        <v>NCV</v>
      </c>
      <c r="BF21" s="292"/>
      <c r="BG21" s="292"/>
      <c r="BH21" s="292"/>
      <c r="BI21" s="292"/>
      <c r="BJ21" s="292"/>
      <c r="BK21" s="292"/>
      <c r="BL21" s="293"/>
    </row>
    <row r="22" spans="1:64">
      <c r="A22" s="428" t="s">
        <v>39</v>
      </c>
      <c r="B22" s="429"/>
      <c r="C22" s="429"/>
      <c r="D22" s="429"/>
      <c r="E22" s="429"/>
      <c r="F22" s="429"/>
      <c r="G22" s="429"/>
      <c r="H22" s="429"/>
      <c r="I22" s="429"/>
      <c r="J22" s="429"/>
      <c r="K22" s="429"/>
      <c r="L22" s="429"/>
      <c r="M22" s="429"/>
      <c r="N22" s="429"/>
      <c r="O22" s="429"/>
      <c r="P22" s="429"/>
      <c r="Q22" s="430"/>
      <c r="R22" s="273" t="s">
        <v>40</v>
      </c>
      <c r="S22" s="273"/>
      <c r="T22" s="273"/>
      <c r="U22" s="273"/>
      <c r="V22" s="273"/>
      <c r="W22" s="273"/>
      <c r="X22" s="273"/>
      <c r="Y22" s="273"/>
      <c r="Z22" s="273"/>
      <c r="AA22" s="273"/>
      <c r="AB22" s="273"/>
      <c r="AC22" s="273"/>
      <c r="AD22" s="273" t="s">
        <v>40</v>
      </c>
      <c r="AE22" s="274"/>
      <c r="AF22" s="274"/>
      <c r="AG22" s="275"/>
      <c r="AH22" s="276" t="s">
        <v>41</v>
      </c>
      <c r="AI22" s="277"/>
      <c r="AJ22" s="277"/>
      <c r="AK22" s="277"/>
      <c r="AL22" s="277"/>
      <c r="AM22" s="277"/>
      <c r="AN22" s="277"/>
      <c r="AO22" s="277"/>
      <c r="AP22" s="277"/>
      <c r="AQ22" s="278"/>
      <c r="AR22" s="407" t="s">
        <v>42</v>
      </c>
      <c r="AS22" s="408"/>
      <c r="AT22" s="408"/>
      <c r="AU22" s="408"/>
      <c r="AV22" s="408"/>
      <c r="AW22" s="408"/>
      <c r="AX22" s="408"/>
      <c r="AY22" s="408"/>
      <c r="AZ22" s="408"/>
      <c r="BA22" s="408"/>
      <c r="BB22" s="408"/>
      <c r="BC22" s="408"/>
      <c r="BD22" s="408"/>
      <c r="BE22" s="408"/>
      <c r="BF22" s="408"/>
      <c r="BG22" s="408"/>
      <c r="BH22" s="408"/>
      <c r="BI22" s="408"/>
      <c r="BJ22" s="408"/>
      <c r="BK22" s="408"/>
      <c r="BL22" s="409"/>
    </row>
    <row r="23" spans="1:64">
      <c r="A23" s="329" t="str">
        <f>'1'!A23</f>
        <v>SINGAPORE</v>
      </c>
      <c r="B23" s="330"/>
      <c r="C23" s="330"/>
      <c r="D23" s="330"/>
      <c r="E23" s="330"/>
      <c r="F23" s="330"/>
      <c r="G23" s="330"/>
      <c r="H23" s="330"/>
      <c r="I23" s="330"/>
      <c r="J23" s="330"/>
      <c r="K23" s="330"/>
      <c r="L23" s="330"/>
      <c r="M23" s="330"/>
      <c r="N23" s="330"/>
      <c r="O23" s="330"/>
      <c r="P23" s="330"/>
      <c r="Q23" s="331"/>
      <c r="R23" s="16" t="str">
        <f>'6'!R23</f>
        <v>GA 824</v>
      </c>
      <c r="S23" s="16"/>
      <c r="T23" s="16"/>
      <c r="U23" s="16"/>
      <c r="V23" s="16"/>
      <c r="W23" s="16"/>
      <c r="X23" s="16"/>
      <c r="Y23" s="17"/>
      <c r="Z23" s="332">
        <f>'6'!Z23</f>
        <v>46171</v>
      </c>
      <c r="AA23" s="333"/>
      <c r="AB23" s="333"/>
      <c r="AC23" s="333"/>
      <c r="AD23" s="333"/>
      <c r="AE23" s="333"/>
      <c r="AF23" s="333"/>
      <c r="AG23" s="334"/>
      <c r="AH23" s="286" t="s">
        <v>45</v>
      </c>
      <c r="AI23" s="287"/>
      <c r="AJ23" s="287"/>
      <c r="AK23" s="287"/>
      <c r="AL23" s="287"/>
      <c r="AM23" s="287"/>
      <c r="AN23" s="287"/>
      <c r="AO23" s="287"/>
      <c r="AP23" s="287"/>
      <c r="AQ23" s="288"/>
      <c r="AR23" s="410"/>
      <c r="AS23" s="411"/>
      <c r="AT23" s="411"/>
      <c r="AU23" s="411"/>
      <c r="AV23" s="411"/>
      <c r="AW23" s="411"/>
      <c r="AX23" s="411"/>
      <c r="AY23" s="411"/>
      <c r="AZ23" s="411"/>
      <c r="BA23" s="411"/>
      <c r="BB23" s="411"/>
      <c r="BC23" s="411"/>
      <c r="BD23" s="411"/>
      <c r="BE23" s="411"/>
      <c r="BF23" s="411"/>
      <c r="BG23" s="411"/>
      <c r="BH23" s="411"/>
      <c r="BI23" s="411"/>
      <c r="BJ23" s="411"/>
      <c r="BK23" s="411"/>
      <c r="BL23" s="412"/>
    </row>
    <row r="24" spans="1:64">
      <c r="A24" s="335" t="s">
        <v>46</v>
      </c>
      <c r="B24" s="336"/>
      <c r="C24" s="336"/>
      <c r="D24" s="336"/>
      <c r="E24" s="336"/>
      <c r="F24" s="336"/>
      <c r="G24" s="336"/>
      <c r="H24" s="336"/>
      <c r="I24" s="336"/>
      <c r="J24" s="336"/>
      <c r="K24" s="336"/>
      <c r="L24" s="336"/>
      <c r="M24" s="336"/>
      <c r="N24" s="336"/>
      <c r="O24" s="336"/>
      <c r="P24" s="336"/>
      <c r="Q24" s="336"/>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8"/>
    </row>
    <row r="25" spans="1:64">
      <c r="A25" s="339"/>
      <c r="B25" s="340"/>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341"/>
    </row>
    <row r="26" spans="1:64">
      <c r="A26" s="422"/>
      <c r="B26" s="423"/>
      <c r="C26" s="423"/>
      <c r="D26" s="423"/>
      <c r="E26" s="423"/>
      <c r="F26" s="423"/>
      <c r="G26" s="423"/>
      <c r="H26" s="423"/>
      <c r="I26" s="423"/>
      <c r="J26" s="423"/>
      <c r="K26" s="423"/>
      <c r="L26" s="423"/>
      <c r="M26" s="423"/>
      <c r="N26" s="423"/>
      <c r="O26" s="423"/>
      <c r="P26" s="423"/>
      <c r="Q26" s="423"/>
      <c r="R26" s="423"/>
      <c r="S26" s="423"/>
      <c r="T26" s="423"/>
      <c r="U26" s="423"/>
      <c r="V26" s="423"/>
      <c r="W26" s="423"/>
      <c r="X26" s="423"/>
      <c r="Y26" s="423"/>
      <c r="Z26" s="423"/>
      <c r="AA26" s="423"/>
      <c r="AB26" s="423"/>
      <c r="AC26" s="423"/>
      <c r="AD26" s="423"/>
      <c r="AE26" s="423"/>
      <c r="AF26" s="423"/>
      <c r="AG26" s="423"/>
      <c r="AH26" s="423"/>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423"/>
      <c r="BE26" s="423"/>
      <c r="BF26" s="423"/>
      <c r="BG26" s="423"/>
      <c r="BH26" s="423"/>
      <c r="BI26" s="423"/>
      <c r="BJ26" s="423"/>
      <c r="BK26" s="423"/>
      <c r="BL26" s="424"/>
    </row>
    <row r="27" spans="1:64" ht="15.75">
      <c r="A27" s="327" t="s">
        <v>47</v>
      </c>
      <c r="B27" s="327"/>
      <c r="C27" s="327"/>
      <c r="D27" s="327" t="s">
        <v>48</v>
      </c>
      <c r="E27" s="327"/>
      <c r="F27" s="327"/>
      <c r="G27" s="327"/>
      <c r="H27" s="327"/>
      <c r="I27" s="327"/>
      <c r="J27" s="379" t="s">
        <v>49</v>
      </c>
      <c r="K27" s="382"/>
      <c r="L27" s="425" t="s">
        <v>50</v>
      </c>
      <c r="M27" s="406"/>
      <c r="N27" s="406"/>
      <c r="O27" s="406"/>
      <c r="P27" s="406"/>
      <c r="Q27" s="406"/>
      <c r="R27" s="382"/>
      <c r="S27" s="406" t="s">
        <v>51</v>
      </c>
      <c r="T27" s="406"/>
      <c r="U27" s="406"/>
      <c r="V27" s="406"/>
      <c r="W27" s="406"/>
      <c r="X27" s="406"/>
      <c r="Y27" s="406"/>
      <c r="Z27" s="382"/>
      <c r="AA27" s="24" t="s">
        <v>52</v>
      </c>
      <c r="AB27" s="25"/>
      <c r="AC27" s="25"/>
      <c r="AD27" s="25"/>
      <c r="AE27" s="25"/>
      <c r="AF27" s="25"/>
      <c r="AG27" s="26"/>
      <c r="AH27" s="384"/>
      <c r="AI27" s="406" t="s">
        <v>53</v>
      </c>
      <c r="AJ27" s="406"/>
      <c r="AK27" s="406"/>
      <c r="AL27" s="406"/>
      <c r="AM27" s="406"/>
      <c r="AN27" s="406"/>
      <c r="AO27" s="406"/>
      <c r="AP27" s="406"/>
      <c r="AQ27" s="406"/>
      <c r="AR27" s="382"/>
      <c r="AS27" s="327" t="s">
        <v>54</v>
      </c>
      <c r="AT27" s="406"/>
      <c r="AU27" s="406"/>
      <c r="AV27" s="406"/>
      <c r="AW27" s="406"/>
      <c r="AX27" s="406"/>
      <c r="AY27" s="406"/>
      <c r="AZ27" s="406"/>
      <c r="BA27" s="406"/>
      <c r="BB27" s="406"/>
      <c r="BC27" s="406"/>
      <c r="BD27" s="406"/>
      <c r="BE27" s="406"/>
      <c r="BF27" s="406"/>
      <c r="BG27" s="406"/>
      <c r="BH27" s="406"/>
      <c r="BI27" s="406"/>
      <c r="BJ27" s="406"/>
      <c r="BK27" s="406"/>
      <c r="BL27" s="406"/>
    </row>
    <row r="28" spans="1:64" ht="21" customHeight="1">
      <c r="A28" s="328"/>
      <c r="B28" s="328"/>
      <c r="C28" s="328"/>
      <c r="D28" s="328"/>
      <c r="E28" s="328"/>
      <c r="F28" s="328"/>
      <c r="G28" s="328"/>
      <c r="H28" s="328"/>
      <c r="I28" s="328"/>
      <c r="J28" s="380"/>
      <c r="K28" s="383"/>
      <c r="L28" s="27"/>
      <c r="M28" s="426" t="s">
        <v>55</v>
      </c>
      <c r="N28" s="426"/>
      <c r="O28" s="426"/>
      <c r="P28" s="426"/>
      <c r="Q28" s="427"/>
      <c r="R28" s="382"/>
      <c r="S28" s="297"/>
      <c r="T28" s="297"/>
      <c r="U28" s="297"/>
      <c r="V28" s="297"/>
      <c r="W28" s="297"/>
      <c r="X28" s="297"/>
      <c r="Y28" s="297"/>
      <c r="Z28" s="382"/>
      <c r="AA28" s="28"/>
      <c r="AB28" s="29"/>
      <c r="AC28" s="29"/>
      <c r="AD28" s="29"/>
      <c r="AE28" s="30" t="s">
        <v>56</v>
      </c>
      <c r="AF28" s="29"/>
      <c r="AG28" s="31"/>
      <c r="AH28" s="384"/>
      <c r="AI28" s="297"/>
      <c r="AJ28" s="297"/>
      <c r="AK28" s="297"/>
      <c r="AL28" s="297"/>
      <c r="AM28" s="297"/>
      <c r="AN28" s="297"/>
      <c r="AO28" s="297"/>
      <c r="AP28" s="297"/>
      <c r="AQ28" s="297"/>
      <c r="AR28" s="382"/>
      <c r="AS28" s="297"/>
      <c r="AT28" s="297"/>
      <c r="AU28" s="297"/>
      <c r="AV28" s="297"/>
      <c r="AW28" s="297"/>
      <c r="AX28" s="297"/>
      <c r="AY28" s="297"/>
      <c r="AZ28" s="297"/>
      <c r="BA28" s="297"/>
      <c r="BB28" s="297"/>
      <c r="BC28" s="297"/>
      <c r="BD28" s="297"/>
      <c r="BE28" s="297"/>
      <c r="BF28" s="297"/>
      <c r="BG28" s="297"/>
      <c r="BH28" s="297"/>
      <c r="BI28" s="297"/>
      <c r="BJ28" s="297"/>
      <c r="BK28" s="297"/>
      <c r="BL28" s="297"/>
    </row>
    <row r="29" spans="1:64">
      <c r="A29" s="304">
        <f>'1'!A29</f>
        <v>23</v>
      </c>
      <c r="B29" s="305"/>
      <c r="C29" s="306"/>
      <c r="D29" s="314">
        <f>'1'!D29</f>
        <v>398</v>
      </c>
      <c r="E29" s="315"/>
      <c r="F29" s="315"/>
      <c r="G29" s="315"/>
      <c r="H29" s="315"/>
      <c r="I29" s="316"/>
      <c r="J29" s="381" t="s">
        <v>57</v>
      </c>
      <c r="K29" s="382"/>
      <c r="L29" s="381" t="s">
        <v>58</v>
      </c>
      <c r="M29" s="324"/>
      <c r="N29" s="325"/>
      <c r="O29" s="325"/>
      <c r="P29" s="325"/>
      <c r="Q29" s="326"/>
      <c r="R29" s="382"/>
      <c r="S29" s="314">
        <f>'1'!S29</f>
        <v>398</v>
      </c>
      <c r="T29" s="315"/>
      <c r="U29" s="315"/>
      <c r="V29" s="315"/>
      <c r="W29" s="315"/>
      <c r="X29" s="315"/>
      <c r="Y29" s="316"/>
      <c r="Z29" s="382"/>
      <c r="AA29" s="320">
        <f>'1'!AA29</f>
        <v>16800</v>
      </c>
      <c r="AB29" s="320"/>
      <c r="AC29" s="320"/>
      <c r="AD29" s="320"/>
      <c r="AE29" s="320"/>
      <c r="AF29" s="320"/>
      <c r="AG29" s="319"/>
      <c r="AH29" s="382"/>
      <c r="AI29" s="342">
        <f>'1'!AI29</f>
        <v>6686400</v>
      </c>
      <c r="AJ29" s="343"/>
      <c r="AK29" s="343"/>
      <c r="AL29" s="343"/>
      <c r="AM29" s="343"/>
      <c r="AN29" s="343"/>
      <c r="AO29" s="343"/>
      <c r="AP29" s="343"/>
      <c r="AQ29" s="344"/>
      <c r="AR29" s="382"/>
      <c r="AS29" s="370">
        <f>'6'!AS29</f>
        <v>0</v>
      </c>
      <c r="AT29" s="371"/>
      <c r="AU29" s="371"/>
      <c r="AV29" s="371"/>
      <c r="AW29" s="371"/>
      <c r="AX29" s="371"/>
      <c r="AY29" s="371"/>
      <c r="AZ29" s="371"/>
      <c r="BA29" s="371"/>
      <c r="BB29" s="371"/>
      <c r="BC29" s="371"/>
      <c r="BD29" s="371"/>
      <c r="BE29" s="371"/>
      <c r="BF29" s="371"/>
      <c r="BG29" s="371"/>
      <c r="BH29" s="371"/>
      <c r="BI29" s="371"/>
      <c r="BJ29" s="371"/>
      <c r="BK29" s="371"/>
      <c r="BL29" s="372"/>
    </row>
    <row r="30" spans="1:64">
      <c r="A30" s="307"/>
      <c r="B30" s="310"/>
      <c r="C30" s="309"/>
      <c r="D30" s="317"/>
      <c r="E30" s="320"/>
      <c r="F30" s="320"/>
      <c r="G30" s="320"/>
      <c r="H30" s="320"/>
      <c r="I30" s="319"/>
      <c r="J30" s="381"/>
      <c r="K30" s="382"/>
      <c r="L30" s="381"/>
      <c r="M30" s="324"/>
      <c r="N30" s="325"/>
      <c r="O30" s="325"/>
      <c r="P30" s="325"/>
      <c r="Q30" s="326"/>
      <c r="R30" s="382"/>
      <c r="S30" s="317"/>
      <c r="T30" s="320"/>
      <c r="U30" s="320"/>
      <c r="V30" s="320"/>
      <c r="W30" s="320"/>
      <c r="X30" s="320"/>
      <c r="Y30" s="319"/>
      <c r="Z30" s="382"/>
      <c r="AA30" s="320"/>
      <c r="AB30" s="320"/>
      <c r="AC30" s="320"/>
      <c r="AD30" s="320"/>
      <c r="AE30" s="320"/>
      <c r="AF30" s="320"/>
      <c r="AG30" s="319"/>
      <c r="AH30" s="382"/>
      <c r="AI30" s="345"/>
      <c r="AJ30" s="348"/>
      <c r="AK30" s="348"/>
      <c r="AL30" s="348"/>
      <c r="AM30" s="348"/>
      <c r="AN30" s="348"/>
      <c r="AO30" s="348"/>
      <c r="AP30" s="348"/>
      <c r="AQ30" s="347"/>
      <c r="AR30" s="382"/>
      <c r="AS30" s="339"/>
      <c r="AT30" s="340"/>
      <c r="AU30" s="340"/>
      <c r="AV30" s="340"/>
      <c r="AW30" s="340"/>
      <c r="AX30" s="340"/>
      <c r="AY30" s="340"/>
      <c r="AZ30" s="340"/>
      <c r="BA30" s="340"/>
      <c r="BB30" s="340"/>
      <c r="BC30" s="340"/>
      <c r="BD30" s="340"/>
      <c r="BE30" s="340"/>
      <c r="BF30" s="340"/>
      <c r="BG30" s="340"/>
      <c r="BH30" s="340"/>
      <c r="BI30" s="340"/>
      <c r="BJ30" s="340"/>
      <c r="BK30" s="340"/>
      <c r="BL30" s="341"/>
    </row>
    <row r="31" spans="1:64">
      <c r="A31" s="307"/>
      <c r="B31" s="310"/>
      <c r="C31" s="309"/>
      <c r="D31" s="317"/>
      <c r="E31" s="320"/>
      <c r="F31" s="320"/>
      <c r="G31" s="320"/>
      <c r="H31" s="320"/>
      <c r="I31" s="319"/>
      <c r="J31" s="381"/>
      <c r="K31" s="382"/>
      <c r="L31" s="381"/>
      <c r="M31" s="324"/>
      <c r="N31" s="325"/>
      <c r="O31" s="325"/>
      <c r="P31" s="325"/>
      <c r="Q31" s="326"/>
      <c r="R31" s="382"/>
      <c r="S31" s="317"/>
      <c r="T31" s="320"/>
      <c r="U31" s="320"/>
      <c r="V31" s="320"/>
      <c r="W31" s="320"/>
      <c r="X31" s="320"/>
      <c r="Y31" s="319"/>
      <c r="Z31" s="382"/>
      <c r="AA31" s="320"/>
      <c r="AB31" s="320"/>
      <c r="AC31" s="320"/>
      <c r="AD31" s="320"/>
      <c r="AE31" s="320"/>
      <c r="AF31" s="320"/>
      <c r="AG31" s="319"/>
      <c r="AH31" s="382"/>
      <c r="AI31" s="345"/>
      <c r="AJ31" s="348"/>
      <c r="AK31" s="348"/>
      <c r="AL31" s="348"/>
      <c r="AM31" s="348"/>
      <c r="AN31" s="348"/>
      <c r="AO31" s="348"/>
      <c r="AP31" s="348"/>
      <c r="AQ31" s="347"/>
      <c r="AR31" s="382"/>
      <c r="AS31" s="339"/>
      <c r="AT31" s="340"/>
      <c r="AU31" s="340"/>
      <c r="AV31" s="340"/>
      <c r="AW31" s="340"/>
      <c r="AX31" s="340"/>
      <c r="AY31" s="340"/>
      <c r="AZ31" s="340"/>
      <c r="BA31" s="340"/>
      <c r="BB31" s="340"/>
      <c r="BC31" s="340"/>
      <c r="BD31" s="340"/>
      <c r="BE31" s="340"/>
      <c r="BF31" s="340"/>
      <c r="BG31" s="340"/>
      <c r="BH31" s="340"/>
      <c r="BI31" s="340"/>
      <c r="BJ31" s="340"/>
      <c r="BK31" s="340"/>
      <c r="BL31" s="341"/>
    </row>
    <row r="32" spans="1:64">
      <c r="A32" s="307"/>
      <c r="B32" s="310"/>
      <c r="C32" s="309"/>
      <c r="D32" s="317"/>
      <c r="E32" s="320"/>
      <c r="F32" s="320"/>
      <c r="G32" s="320"/>
      <c r="H32" s="320"/>
      <c r="I32" s="319"/>
      <c r="J32" s="381"/>
      <c r="K32" s="382"/>
      <c r="L32" s="381"/>
      <c r="M32" s="324"/>
      <c r="N32" s="325"/>
      <c r="O32" s="325"/>
      <c r="P32" s="325"/>
      <c r="Q32" s="326"/>
      <c r="R32" s="382"/>
      <c r="S32" s="317"/>
      <c r="T32" s="320"/>
      <c r="U32" s="320"/>
      <c r="V32" s="320"/>
      <c r="W32" s="320"/>
      <c r="X32" s="320"/>
      <c r="Y32" s="319"/>
      <c r="Z32" s="382"/>
      <c r="AA32" s="320"/>
      <c r="AB32" s="320"/>
      <c r="AC32" s="320"/>
      <c r="AD32" s="320"/>
      <c r="AE32" s="320"/>
      <c r="AF32" s="320"/>
      <c r="AG32" s="319"/>
      <c r="AH32" s="382"/>
      <c r="AI32" s="345"/>
      <c r="AJ32" s="348"/>
      <c r="AK32" s="348"/>
      <c r="AL32" s="348"/>
      <c r="AM32" s="348"/>
      <c r="AN32" s="348"/>
      <c r="AO32" s="348"/>
      <c r="AP32" s="348"/>
      <c r="AQ32" s="347"/>
      <c r="AR32" s="382"/>
      <c r="AS32" s="339"/>
      <c r="AT32" s="340"/>
      <c r="AU32" s="340"/>
      <c r="AV32" s="340"/>
      <c r="AW32" s="340"/>
      <c r="AX32" s="340"/>
      <c r="AY32" s="340"/>
      <c r="AZ32" s="340"/>
      <c r="BA32" s="340"/>
      <c r="BB32" s="340"/>
      <c r="BC32" s="340"/>
      <c r="BD32" s="340"/>
      <c r="BE32" s="340"/>
      <c r="BF32" s="340"/>
      <c r="BG32" s="340"/>
      <c r="BH32" s="340"/>
      <c r="BI32" s="340"/>
      <c r="BJ32" s="340"/>
      <c r="BK32" s="340"/>
      <c r="BL32" s="341"/>
    </row>
    <row r="33" spans="1:64">
      <c r="A33" s="307"/>
      <c r="B33" s="310"/>
      <c r="C33" s="309"/>
      <c r="D33" s="317"/>
      <c r="E33" s="320"/>
      <c r="F33" s="320"/>
      <c r="G33" s="320"/>
      <c r="H33" s="320"/>
      <c r="I33" s="319"/>
      <c r="J33" s="381"/>
      <c r="K33" s="382"/>
      <c r="L33" s="381"/>
      <c r="M33" s="324"/>
      <c r="N33" s="325"/>
      <c r="O33" s="325"/>
      <c r="P33" s="325"/>
      <c r="Q33" s="326"/>
      <c r="R33" s="382"/>
      <c r="S33" s="317"/>
      <c r="T33" s="320"/>
      <c r="U33" s="320"/>
      <c r="V33" s="320"/>
      <c r="W33" s="320"/>
      <c r="X33" s="320"/>
      <c r="Y33" s="319"/>
      <c r="Z33" s="382"/>
      <c r="AA33" s="320"/>
      <c r="AB33" s="320"/>
      <c r="AC33" s="320"/>
      <c r="AD33" s="320"/>
      <c r="AE33" s="320"/>
      <c r="AF33" s="320"/>
      <c r="AG33" s="319"/>
      <c r="AH33" s="382"/>
      <c r="AI33" s="345"/>
      <c r="AJ33" s="348"/>
      <c r="AK33" s="348"/>
      <c r="AL33" s="348"/>
      <c r="AM33" s="348"/>
      <c r="AN33" s="348"/>
      <c r="AO33" s="348"/>
      <c r="AP33" s="348"/>
      <c r="AQ33" s="347"/>
      <c r="AR33" s="382"/>
      <c r="AS33" s="339"/>
      <c r="AT33" s="340"/>
      <c r="AU33" s="340"/>
      <c r="AV33" s="340"/>
      <c r="AW33" s="340"/>
      <c r="AX33" s="340"/>
      <c r="AY33" s="340"/>
      <c r="AZ33" s="340"/>
      <c r="BA33" s="340"/>
      <c r="BB33" s="340"/>
      <c r="BC33" s="340"/>
      <c r="BD33" s="340"/>
      <c r="BE33" s="340"/>
      <c r="BF33" s="340"/>
      <c r="BG33" s="340"/>
      <c r="BH33" s="340"/>
      <c r="BI33" s="340"/>
      <c r="BJ33" s="340"/>
      <c r="BK33" s="340"/>
      <c r="BL33" s="341"/>
    </row>
    <row r="34" spans="1:64">
      <c r="A34" s="311"/>
      <c r="B34" s="312"/>
      <c r="C34" s="313"/>
      <c r="D34" s="321"/>
      <c r="E34" s="322"/>
      <c r="F34" s="322"/>
      <c r="G34" s="322"/>
      <c r="H34" s="322"/>
      <c r="I34" s="323"/>
      <c r="J34" s="381"/>
      <c r="K34" s="382"/>
      <c r="L34" s="381"/>
      <c r="M34" s="324"/>
      <c r="N34" s="325"/>
      <c r="O34" s="325"/>
      <c r="P34" s="325"/>
      <c r="Q34" s="326"/>
      <c r="R34" s="382"/>
      <c r="S34" s="317"/>
      <c r="T34" s="320"/>
      <c r="U34" s="320"/>
      <c r="V34" s="320"/>
      <c r="W34" s="320"/>
      <c r="X34" s="320"/>
      <c r="Y34" s="319"/>
      <c r="Z34" s="382"/>
      <c r="AA34" s="320"/>
      <c r="AB34" s="320"/>
      <c r="AC34" s="320"/>
      <c r="AD34" s="320"/>
      <c r="AE34" s="320"/>
      <c r="AF34" s="320"/>
      <c r="AG34" s="319"/>
      <c r="AH34" s="382"/>
      <c r="AI34" s="345"/>
      <c r="AJ34" s="348"/>
      <c r="AK34" s="348"/>
      <c r="AL34" s="348"/>
      <c r="AM34" s="348"/>
      <c r="AN34" s="348"/>
      <c r="AO34" s="348"/>
      <c r="AP34" s="348"/>
      <c r="AQ34" s="347"/>
      <c r="AR34" s="382"/>
      <c r="AS34" s="339"/>
      <c r="AT34" s="340"/>
      <c r="AU34" s="340"/>
      <c r="AV34" s="340"/>
      <c r="AW34" s="340"/>
      <c r="AX34" s="340"/>
      <c r="AY34" s="340"/>
      <c r="AZ34" s="340"/>
      <c r="BA34" s="340"/>
      <c r="BB34" s="340"/>
      <c r="BC34" s="340"/>
      <c r="BD34" s="340"/>
      <c r="BE34" s="340"/>
      <c r="BF34" s="340"/>
      <c r="BG34" s="340"/>
      <c r="BH34" s="340"/>
      <c r="BI34" s="340"/>
      <c r="BJ34" s="340"/>
      <c r="BK34" s="340"/>
      <c r="BL34" s="341"/>
    </row>
    <row r="35" spans="1:64">
      <c r="A35" s="301"/>
      <c r="B35" s="302"/>
      <c r="C35" s="303"/>
      <c r="D35" s="301"/>
      <c r="E35" s="302"/>
      <c r="F35" s="302"/>
      <c r="G35" s="302"/>
      <c r="H35" s="302"/>
      <c r="I35" s="303"/>
      <c r="J35" s="381"/>
      <c r="K35" s="382"/>
      <c r="L35" s="381"/>
      <c r="M35" s="324"/>
      <c r="N35" s="325"/>
      <c r="O35" s="325"/>
      <c r="P35" s="325"/>
      <c r="Q35" s="326"/>
      <c r="R35" s="382"/>
      <c r="S35" s="317"/>
      <c r="T35" s="320"/>
      <c r="U35" s="320"/>
      <c r="V35" s="320"/>
      <c r="W35" s="320"/>
      <c r="X35" s="320"/>
      <c r="Y35" s="319"/>
      <c r="Z35" s="382"/>
      <c r="AA35" s="320"/>
      <c r="AB35" s="320"/>
      <c r="AC35" s="320"/>
      <c r="AD35" s="320"/>
      <c r="AE35" s="320"/>
      <c r="AF35" s="320"/>
      <c r="AG35" s="319"/>
      <c r="AH35" s="382"/>
      <c r="AI35" s="301"/>
      <c r="AJ35" s="302"/>
      <c r="AK35" s="302"/>
      <c r="AL35" s="302"/>
      <c r="AM35" s="302"/>
      <c r="AN35" s="302"/>
      <c r="AO35" s="302"/>
      <c r="AP35" s="302"/>
      <c r="AQ35" s="303"/>
      <c r="AR35" s="382"/>
      <c r="AS35" s="339"/>
      <c r="AT35" s="340"/>
      <c r="AU35" s="340"/>
      <c r="AV35" s="340"/>
      <c r="AW35" s="340"/>
      <c r="AX35" s="340"/>
      <c r="AY35" s="340"/>
      <c r="AZ35" s="340"/>
      <c r="BA35" s="340"/>
      <c r="BB35" s="340"/>
      <c r="BC35" s="340"/>
      <c r="BD35" s="340"/>
      <c r="BE35" s="340"/>
      <c r="BF35" s="340"/>
      <c r="BG35" s="340"/>
      <c r="BH35" s="340"/>
      <c r="BI35" s="340"/>
      <c r="BJ35" s="340"/>
      <c r="BK35" s="340"/>
      <c r="BL35" s="341"/>
    </row>
    <row r="36" spans="1:64" ht="15.75">
      <c r="A36" s="1350">
        <f>AI29</f>
        <v>6686400</v>
      </c>
      <c r="B36" s="1351"/>
      <c r="C36" s="1351"/>
      <c r="D36" s="1351"/>
      <c r="E36" s="1351"/>
      <c r="F36" s="1351"/>
      <c r="G36" s="1351"/>
      <c r="H36" s="1351"/>
      <c r="I36" s="1351"/>
      <c r="J36" s="1351"/>
      <c r="K36" s="1351"/>
      <c r="L36" s="1351"/>
      <c r="M36" s="1352"/>
      <c r="N36" s="32"/>
      <c r="O36" s="32"/>
      <c r="P36" s="32"/>
      <c r="Q36" s="32"/>
      <c r="R36" s="32"/>
      <c r="S36" s="349"/>
      <c r="T36" s="349"/>
      <c r="U36" s="349"/>
      <c r="V36" s="349"/>
      <c r="W36" s="349"/>
      <c r="X36" s="349"/>
      <c r="Y36" s="349"/>
      <c r="Z36" s="32"/>
      <c r="AA36" s="33"/>
      <c r="AB36" s="1" t="s">
        <v>59</v>
      </c>
      <c r="AC36" s="2"/>
      <c r="AD36" s="2"/>
      <c r="AE36" s="2"/>
      <c r="AF36" s="2"/>
      <c r="AG36" s="2"/>
      <c r="AH36" s="2"/>
      <c r="AI36" s="361"/>
      <c r="AJ36" s="361"/>
      <c r="AK36" s="361"/>
      <c r="AL36" s="361"/>
      <c r="AM36" s="361"/>
      <c r="AN36" s="361"/>
      <c r="AO36" s="361"/>
      <c r="AP36" s="361"/>
      <c r="AQ36" s="361"/>
      <c r="AR36" s="2"/>
      <c r="AS36" s="2"/>
      <c r="AT36" s="2"/>
      <c r="AU36" s="2"/>
      <c r="AV36" s="2"/>
      <c r="AW36" s="2"/>
      <c r="AX36" s="2"/>
      <c r="AY36" s="2"/>
      <c r="AZ36" s="2"/>
      <c r="BA36" s="2"/>
      <c r="BB36" s="2"/>
      <c r="BC36" s="2"/>
      <c r="BD36" s="2"/>
      <c r="BE36" s="2"/>
      <c r="BF36" s="2"/>
      <c r="BG36" s="2"/>
      <c r="BH36" s="2"/>
      <c r="BI36" s="2"/>
      <c r="BJ36" s="2"/>
      <c r="BK36" s="2"/>
      <c r="BL36" s="3"/>
    </row>
    <row r="37" spans="1:64" ht="7.5" customHeight="1">
      <c r="A37" s="1353"/>
      <c r="B37" s="1354"/>
      <c r="C37" s="1354"/>
      <c r="D37" s="1354"/>
      <c r="E37" s="1354"/>
      <c r="F37" s="1354"/>
      <c r="G37" s="1354"/>
      <c r="H37" s="1354"/>
      <c r="I37" s="1354"/>
      <c r="J37" s="1354"/>
      <c r="K37" s="1354"/>
      <c r="L37" s="1354"/>
      <c r="M37" s="1355"/>
      <c r="N37" s="34"/>
      <c r="O37" s="34"/>
      <c r="P37" s="34"/>
      <c r="Q37" s="34"/>
      <c r="R37" s="34"/>
      <c r="S37" s="34"/>
      <c r="T37" s="34"/>
      <c r="U37" s="34"/>
      <c r="V37" s="34"/>
      <c r="W37" s="34"/>
      <c r="X37" s="34"/>
      <c r="Y37" s="34"/>
      <c r="Z37" s="34"/>
      <c r="AA37" s="35"/>
      <c r="AB37" s="36"/>
      <c r="AC37" s="8"/>
      <c r="AD37" s="8"/>
      <c r="AE37" s="8"/>
      <c r="AF37" s="8"/>
      <c r="AG37" s="8"/>
      <c r="AH37" s="8"/>
      <c r="AI37" s="284"/>
      <c r="AJ37" s="284"/>
      <c r="AK37" s="284"/>
      <c r="AL37" s="284"/>
      <c r="AM37" s="284"/>
      <c r="AN37" s="284"/>
      <c r="AO37" s="284"/>
      <c r="AP37" s="284"/>
      <c r="AQ37" s="284"/>
      <c r="AR37" s="8"/>
      <c r="AS37" s="8"/>
      <c r="AT37" s="8"/>
      <c r="AU37" s="8"/>
      <c r="AV37" s="8"/>
      <c r="AW37" s="8"/>
      <c r="AX37" s="8"/>
      <c r="AY37" s="8"/>
      <c r="AZ37" s="8"/>
      <c r="BA37" s="8"/>
      <c r="BB37" s="8"/>
      <c r="BC37" s="8"/>
      <c r="BD37" s="8"/>
      <c r="BE37" s="8"/>
      <c r="BF37" s="8"/>
      <c r="BG37" s="8"/>
      <c r="BH37" s="8"/>
      <c r="BI37" s="8"/>
      <c r="BJ37" s="8"/>
      <c r="BK37" s="8"/>
      <c r="BL37" s="9"/>
    </row>
    <row r="38" spans="1:64" ht="15.75">
      <c r="A38" s="37"/>
      <c r="B38" s="32"/>
      <c r="C38" s="32"/>
      <c r="D38" s="32"/>
      <c r="E38" s="32"/>
      <c r="F38" s="32"/>
      <c r="G38" s="32"/>
      <c r="H38" s="32"/>
      <c r="I38" s="32"/>
      <c r="J38" s="32"/>
      <c r="K38" s="32"/>
      <c r="L38" s="32"/>
      <c r="M38" s="33"/>
      <c r="N38" s="38"/>
      <c r="O38" s="38"/>
      <c r="P38" s="38"/>
      <c r="Q38" s="38"/>
      <c r="R38" s="38"/>
      <c r="S38" s="38"/>
      <c r="T38" s="38"/>
      <c r="U38" s="38"/>
      <c r="V38" s="38"/>
      <c r="W38" s="38"/>
      <c r="X38" s="38"/>
      <c r="Y38" s="38"/>
      <c r="Z38" s="38"/>
      <c r="AA38" s="39"/>
      <c r="AB38" s="362"/>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row>
    <row r="39" spans="1:64" ht="7.5" customHeight="1">
      <c r="A39" s="40"/>
      <c r="B39" s="34"/>
      <c r="C39" s="34"/>
      <c r="D39" s="34"/>
      <c r="E39" s="34"/>
      <c r="F39" s="34"/>
      <c r="G39" s="34"/>
      <c r="H39" s="34"/>
      <c r="I39" s="34"/>
      <c r="J39" s="34"/>
      <c r="K39" s="34"/>
      <c r="L39" s="34"/>
      <c r="M39" s="35"/>
      <c r="N39" s="34"/>
      <c r="O39" s="34"/>
      <c r="P39" s="34"/>
      <c r="Q39" s="34"/>
      <c r="R39" s="34"/>
      <c r="S39" s="34"/>
      <c r="T39" s="34"/>
      <c r="U39" s="34"/>
      <c r="V39" s="34"/>
      <c r="W39" s="34"/>
      <c r="X39" s="34"/>
      <c r="Y39" s="34"/>
      <c r="Z39" s="34"/>
      <c r="AA39" s="35"/>
      <c r="AB39" s="362"/>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row>
    <row r="40" spans="1:64" ht="15.75">
      <c r="A40" s="37"/>
      <c r="B40" s="32"/>
      <c r="C40" s="32"/>
      <c r="D40" s="32"/>
      <c r="E40" s="41"/>
      <c r="F40" s="41"/>
      <c r="G40" s="41"/>
      <c r="H40" s="41"/>
      <c r="I40" s="41"/>
      <c r="J40" s="41"/>
      <c r="K40" s="41"/>
      <c r="L40" s="41"/>
      <c r="M40" s="42"/>
      <c r="N40" s="43"/>
      <c r="O40" s="43"/>
      <c r="P40" s="43"/>
      <c r="Q40" s="43"/>
      <c r="R40" s="43"/>
      <c r="S40" s="43"/>
      <c r="T40" s="43"/>
      <c r="U40" s="43"/>
      <c r="V40" s="43"/>
      <c r="W40" s="43"/>
      <c r="X40" s="38"/>
      <c r="Y40" s="38"/>
      <c r="Z40" s="38"/>
      <c r="AA40" s="39"/>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row>
    <row r="41" spans="1:64" ht="7.5" customHeight="1">
      <c r="A41" s="40"/>
      <c r="B41" s="34"/>
      <c r="C41" s="34"/>
      <c r="D41" s="34"/>
      <c r="E41" s="34"/>
      <c r="F41" s="34"/>
      <c r="G41" s="34"/>
      <c r="H41" s="34"/>
      <c r="I41" s="34"/>
      <c r="J41" s="34"/>
      <c r="K41" s="34"/>
      <c r="L41" s="34"/>
      <c r="M41" s="35"/>
      <c r="N41" s="34"/>
      <c r="O41" s="34"/>
      <c r="P41" s="34"/>
      <c r="Q41" s="34"/>
      <c r="R41" s="34"/>
      <c r="S41" s="34"/>
      <c r="T41" s="34"/>
      <c r="U41" s="34"/>
      <c r="V41" s="34"/>
      <c r="W41" s="34"/>
      <c r="X41" s="34"/>
      <c r="Y41" s="34"/>
      <c r="Z41" s="34"/>
      <c r="AA41" s="35"/>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row>
    <row r="42" spans="1:64" ht="15" customHeight="1">
      <c r="A42" s="37"/>
      <c r="B42" s="32"/>
      <c r="C42" s="32"/>
      <c r="D42" s="32"/>
      <c r="E42" s="32"/>
      <c r="F42" s="32"/>
      <c r="G42" s="32"/>
      <c r="H42" s="32"/>
      <c r="I42" s="32"/>
      <c r="J42" s="32"/>
      <c r="K42" s="32"/>
      <c r="L42" s="32"/>
      <c r="M42" s="33"/>
      <c r="N42" s="32"/>
      <c r="O42" s="32"/>
      <c r="P42" s="32"/>
      <c r="Q42" s="32"/>
      <c r="R42" s="32"/>
      <c r="S42" s="32"/>
      <c r="T42" s="32"/>
      <c r="U42" s="32"/>
      <c r="V42" s="32"/>
      <c r="W42" s="32"/>
      <c r="X42" s="32"/>
      <c r="Y42" s="32"/>
      <c r="Z42" s="32"/>
      <c r="AA42" s="33"/>
      <c r="AB42" s="364" t="s">
        <v>60</v>
      </c>
      <c r="AC42" s="365"/>
      <c r="AD42" s="365"/>
      <c r="AE42" s="365"/>
      <c r="AF42" s="365"/>
      <c r="AG42" s="365"/>
      <c r="AH42" s="365"/>
      <c r="AI42" s="365"/>
      <c r="AJ42" s="365"/>
      <c r="AK42" s="365"/>
      <c r="AL42" s="365"/>
      <c r="AM42" s="365"/>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5"/>
      <c r="BK42" s="365"/>
      <c r="BL42" s="366"/>
    </row>
    <row r="43" spans="1:64" ht="7.5" customHeight="1">
      <c r="A43" s="40"/>
      <c r="B43" s="34"/>
      <c r="C43" s="34"/>
      <c r="D43" s="34"/>
      <c r="E43" s="34"/>
      <c r="F43" s="34"/>
      <c r="G43" s="34"/>
      <c r="H43" s="34"/>
      <c r="I43" s="34"/>
      <c r="J43" s="34"/>
      <c r="K43" s="34"/>
      <c r="L43" s="34"/>
      <c r="M43" s="35"/>
      <c r="N43" s="34"/>
      <c r="O43" s="34"/>
      <c r="P43" s="34"/>
      <c r="Q43" s="34"/>
      <c r="R43" s="34"/>
      <c r="S43" s="34"/>
      <c r="T43" s="34"/>
      <c r="U43" s="34"/>
      <c r="V43" s="34"/>
      <c r="W43" s="34"/>
      <c r="X43" s="34"/>
      <c r="Y43" s="34"/>
      <c r="Z43" s="34"/>
      <c r="AA43" s="35"/>
      <c r="AB43" s="367"/>
      <c r="AC43" s="368"/>
      <c r="AD43" s="368"/>
      <c r="AE43" s="368"/>
      <c r="AF43" s="368"/>
      <c r="AG43" s="368"/>
      <c r="AH43" s="368"/>
      <c r="AI43" s="368"/>
      <c r="AJ43" s="368"/>
      <c r="AK43" s="368"/>
      <c r="AL43" s="368"/>
      <c r="AM43" s="368"/>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8"/>
      <c r="BK43" s="368"/>
      <c r="BL43" s="369"/>
    </row>
    <row r="44" spans="1:64" ht="15.75">
      <c r="A44" s="1360">
        <f>'1'!A46</f>
        <v>1052092</v>
      </c>
      <c r="B44" s="1361"/>
      <c r="C44" s="1361"/>
      <c r="D44" s="1361"/>
      <c r="E44" s="1361"/>
      <c r="F44" s="1361"/>
      <c r="G44" s="1361"/>
      <c r="H44" s="1361"/>
      <c r="I44" s="1361"/>
      <c r="J44" s="1361"/>
      <c r="K44" s="1361"/>
      <c r="L44" s="1361"/>
      <c r="M44" s="1362"/>
      <c r="N44" s="32"/>
      <c r="O44" s="32"/>
      <c r="P44" s="32"/>
      <c r="Q44" s="32"/>
      <c r="R44" s="32"/>
      <c r="S44" s="32"/>
      <c r="T44" s="32"/>
      <c r="U44" s="32"/>
      <c r="V44" s="32"/>
      <c r="W44" s="32"/>
      <c r="X44" s="32"/>
      <c r="Y44" s="32"/>
      <c r="Z44" s="32"/>
      <c r="AA44" s="33"/>
      <c r="AB44" s="1366" t="str">
        <f>A3</f>
        <v>PT. NUR INFINIT INDOALEA GLOBAL</v>
      </c>
      <c r="AC44" s="1367"/>
      <c r="AD44" s="1367"/>
      <c r="AE44" s="1367"/>
      <c r="AF44" s="1367"/>
      <c r="AG44" s="1367"/>
      <c r="AH44" s="1367"/>
      <c r="AI44" s="1367"/>
      <c r="AJ44" s="1367"/>
      <c r="AK44" s="1367"/>
      <c r="AL44" s="1367"/>
      <c r="AM44" s="1367"/>
      <c r="AN44" s="1367"/>
      <c r="AO44" s="1367"/>
      <c r="AP44" s="1367"/>
      <c r="AQ44" s="1367"/>
      <c r="AR44" s="1367"/>
      <c r="AS44" s="1367"/>
      <c r="AT44" s="1367"/>
      <c r="AU44" s="1367"/>
      <c r="AV44" s="1367"/>
      <c r="AW44" s="1367"/>
      <c r="AX44" s="1367"/>
      <c r="AY44" s="1367"/>
      <c r="AZ44" s="1367"/>
      <c r="BA44" s="1367"/>
      <c r="BB44" s="1367"/>
      <c r="BC44" s="1367"/>
      <c r="BD44" s="1367"/>
      <c r="BE44" s="1367"/>
      <c r="BF44" s="1367"/>
      <c r="BG44" s="1367"/>
      <c r="BH44" s="1367"/>
      <c r="BI44" s="1367"/>
      <c r="BJ44" s="1367"/>
      <c r="BK44" s="1367"/>
      <c r="BL44" s="1368"/>
    </row>
    <row r="45" spans="1:64" ht="7.5" customHeight="1">
      <c r="A45" s="1363"/>
      <c r="B45" s="1364"/>
      <c r="C45" s="1364"/>
      <c r="D45" s="1364"/>
      <c r="E45" s="1364"/>
      <c r="F45" s="1364"/>
      <c r="G45" s="1364"/>
      <c r="H45" s="1364"/>
      <c r="I45" s="1364"/>
      <c r="J45" s="1364"/>
      <c r="K45" s="1364"/>
      <c r="L45" s="1364"/>
      <c r="M45" s="1365"/>
      <c r="N45" s="34"/>
      <c r="O45" s="34"/>
      <c r="P45" s="34"/>
      <c r="Q45" s="34"/>
      <c r="R45" s="34"/>
      <c r="S45" s="34"/>
      <c r="T45" s="34"/>
      <c r="U45" s="34"/>
      <c r="V45" s="34"/>
      <c r="W45" s="34"/>
      <c r="X45" s="34"/>
      <c r="Y45" s="34"/>
      <c r="Z45" s="34"/>
      <c r="AA45" s="35"/>
      <c r="AB45" s="1369"/>
      <c r="AC45" s="1370"/>
      <c r="AD45" s="1370"/>
      <c r="AE45" s="1370"/>
      <c r="AF45" s="1370"/>
      <c r="AG45" s="1370"/>
      <c r="AH45" s="1370"/>
      <c r="AI45" s="1370"/>
      <c r="AJ45" s="1370"/>
      <c r="AK45" s="1370"/>
      <c r="AL45" s="1370"/>
      <c r="AM45" s="1370"/>
      <c r="AN45" s="1370"/>
      <c r="AO45" s="1370"/>
      <c r="AP45" s="1370"/>
      <c r="AQ45" s="1370"/>
      <c r="AR45" s="1370"/>
      <c r="AS45" s="1370"/>
      <c r="AT45" s="1370"/>
      <c r="AU45" s="1370"/>
      <c r="AV45" s="1370"/>
      <c r="AW45" s="1370"/>
      <c r="AX45" s="1370"/>
      <c r="AY45" s="1370"/>
      <c r="AZ45" s="1370"/>
      <c r="BA45" s="1370"/>
      <c r="BB45" s="1370"/>
      <c r="BC45" s="1370"/>
      <c r="BD45" s="1370"/>
      <c r="BE45" s="1370"/>
      <c r="BF45" s="1370"/>
      <c r="BG45" s="1370"/>
      <c r="BH45" s="1370"/>
      <c r="BI45" s="1370"/>
      <c r="BJ45" s="1370"/>
      <c r="BK45" s="1370"/>
      <c r="BL45" s="1371"/>
    </row>
    <row r="46" spans="1:64" ht="15.75">
      <c r="A46" s="44"/>
      <c r="B46" s="45"/>
      <c r="C46" s="45"/>
      <c r="D46" s="45"/>
      <c r="E46" s="46"/>
      <c r="F46" s="46"/>
      <c r="G46" s="46"/>
      <c r="H46" s="46"/>
      <c r="I46" s="46"/>
      <c r="J46" s="46"/>
      <c r="K46" s="46"/>
      <c r="L46" s="46"/>
      <c r="M46" s="47"/>
      <c r="N46" s="48"/>
      <c r="O46" s="46"/>
      <c r="P46" s="46"/>
      <c r="Q46" s="46"/>
      <c r="R46" s="46"/>
      <c r="S46" s="46"/>
      <c r="T46" s="46"/>
      <c r="U46" s="46"/>
      <c r="V46" s="46"/>
      <c r="W46" s="46"/>
      <c r="X46" s="45"/>
      <c r="Y46" s="45"/>
      <c r="Z46" s="45"/>
      <c r="AA46" s="45"/>
      <c r="AB46" s="350" t="s">
        <v>61</v>
      </c>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2"/>
    </row>
    <row r="47" spans="1:64" ht="7.5" customHeight="1">
      <c r="A47" s="49"/>
      <c r="B47" s="50"/>
      <c r="C47" s="50"/>
      <c r="D47" s="50"/>
      <c r="E47" s="50"/>
      <c r="F47" s="50"/>
      <c r="G47" s="50"/>
      <c r="H47" s="50"/>
      <c r="I47" s="50"/>
      <c r="J47" s="50"/>
      <c r="K47" s="50"/>
      <c r="L47" s="50"/>
      <c r="M47" s="51"/>
      <c r="N47" s="49"/>
      <c r="O47" s="50"/>
      <c r="P47" s="50"/>
      <c r="Q47" s="50"/>
      <c r="R47" s="50"/>
      <c r="S47" s="50"/>
      <c r="T47" s="50"/>
      <c r="U47" s="50"/>
      <c r="V47" s="50"/>
      <c r="W47" s="50"/>
      <c r="X47" s="50"/>
      <c r="Y47" s="50"/>
      <c r="Z47" s="50"/>
      <c r="AA47" s="50"/>
      <c r="AB47" s="37"/>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3"/>
    </row>
    <row r="48" spans="1:64" ht="15.75">
      <c r="A48" s="1350">
        <f>A36+A44</f>
        <v>7738492</v>
      </c>
      <c r="B48" s="1372"/>
      <c r="C48" s="1372"/>
      <c r="D48" s="1372"/>
      <c r="E48" s="1372"/>
      <c r="F48" s="1372"/>
      <c r="G48" s="1372"/>
      <c r="H48" s="1372"/>
      <c r="I48" s="1372"/>
      <c r="J48" s="1372"/>
      <c r="K48" s="1372"/>
      <c r="L48" s="1372"/>
      <c r="M48" s="1373"/>
      <c r="N48" s="37"/>
      <c r="O48" s="349"/>
      <c r="P48" s="349"/>
      <c r="Q48" s="349"/>
      <c r="R48" s="349"/>
      <c r="S48" s="349"/>
      <c r="T48" s="349"/>
      <c r="U48" s="349"/>
      <c r="V48" s="349"/>
      <c r="W48" s="349"/>
      <c r="X48" s="349"/>
      <c r="Y48" s="349"/>
      <c r="Z48" s="349"/>
      <c r="AA48" s="32"/>
      <c r="AB48" s="52"/>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9"/>
    </row>
    <row r="49" spans="1:64" ht="7.5" customHeight="1">
      <c r="A49" s="1374"/>
      <c r="B49" s="1375"/>
      <c r="C49" s="1375"/>
      <c r="D49" s="1375"/>
      <c r="E49" s="1375"/>
      <c r="F49" s="1375"/>
      <c r="G49" s="1375"/>
      <c r="H49" s="1375"/>
      <c r="I49" s="1375"/>
      <c r="J49" s="1375"/>
      <c r="K49" s="1375"/>
      <c r="L49" s="1375"/>
      <c r="M49" s="1376"/>
      <c r="N49" s="40"/>
      <c r="O49" s="34"/>
      <c r="P49" s="34"/>
      <c r="Q49" s="34"/>
      <c r="R49" s="34"/>
      <c r="S49" s="34"/>
      <c r="T49" s="34"/>
      <c r="U49" s="34"/>
      <c r="V49" s="34"/>
      <c r="W49" s="34"/>
      <c r="X49" s="34"/>
      <c r="Y49" s="34"/>
      <c r="Z49" s="34"/>
      <c r="AA49" s="34"/>
      <c r="AB49" s="52"/>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9"/>
    </row>
    <row r="50" spans="1:64" ht="15.75">
      <c r="A50" s="37"/>
      <c r="B50" s="349"/>
      <c r="C50" s="349"/>
      <c r="D50" s="349"/>
      <c r="E50" s="349"/>
      <c r="F50" s="349"/>
      <c r="G50" s="349"/>
      <c r="H50" s="349"/>
      <c r="I50" s="349"/>
      <c r="J50" s="349"/>
      <c r="K50" s="349"/>
      <c r="L50" s="349"/>
      <c r="M50" s="33"/>
      <c r="N50" s="37"/>
      <c r="O50" s="349"/>
      <c r="P50" s="349"/>
      <c r="Q50" s="349"/>
      <c r="R50" s="349"/>
      <c r="S50" s="349"/>
      <c r="T50" s="349"/>
      <c r="U50" s="349"/>
      <c r="V50" s="349"/>
      <c r="W50" s="349"/>
      <c r="X50" s="349"/>
      <c r="Y50" s="349"/>
      <c r="Z50" s="349"/>
      <c r="AA50" s="32"/>
      <c r="AB50" s="58"/>
      <c r="AC50" s="1348">
        <f>'1'!AC52</f>
        <v>46171</v>
      </c>
      <c r="AD50" s="1349"/>
      <c r="AE50" s="1349"/>
      <c r="AF50" s="1349"/>
      <c r="AG50" s="1349"/>
      <c r="AH50" s="1349"/>
      <c r="AI50" s="1349"/>
      <c r="AJ50" s="1349"/>
      <c r="AK50" s="1349"/>
      <c r="AL50" s="55"/>
      <c r="AM50" s="55"/>
      <c r="AN50" s="55"/>
      <c r="AO50" s="1349" t="str">
        <f>'1'!AO52</f>
        <v>CGK</v>
      </c>
      <c r="AP50" s="1349"/>
      <c r="AQ50" s="1349"/>
      <c r="AR50" s="1349"/>
      <c r="AS50" s="55"/>
      <c r="AT50" s="55"/>
      <c r="AU50" s="55"/>
      <c r="AV50" s="55"/>
      <c r="AW50" s="55"/>
      <c r="AX50" s="55"/>
      <c r="AY50" s="55"/>
      <c r="AZ50" s="55"/>
      <c r="BA50" s="55"/>
      <c r="BB50" s="55"/>
      <c r="BC50" s="55"/>
      <c r="BD50" s="55"/>
      <c r="BE50" s="55"/>
      <c r="BF50" s="55"/>
      <c r="BG50" s="55"/>
      <c r="BH50" s="55"/>
      <c r="BI50" s="55"/>
      <c r="BJ50" s="55"/>
      <c r="BK50" s="55"/>
      <c r="BL50" s="56"/>
    </row>
    <row r="51" spans="1:64" ht="7.5" customHeight="1">
      <c r="A51" s="40"/>
      <c r="B51" s="34"/>
      <c r="C51" s="34"/>
      <c r="D51" s="34"/>
      <c r="E51" s="34"/>
      <c r="F51" s="34"/>
      <c r="G51" s="34"/>
      <c r="H51" s="34"/>
      <c r="I51" s="34"/>
      <c r="J51" s="34"/>
      <c r="K51" s="34"/>
      <c r="L51" s="34"/>
      <c r="M51" s="35"/>
      <c r="N51" s="40"/>
      <c r="O51" s="34"/>
      <c r="P51" s="34"/>
      <c r="Q51" s="34"/>
      <c r="R51" s="34"/>
      <c r="S51" s="34"/>
      <c r="T51" s="34"/>
      <c r="U51" s="34"/>
      <c r="V51" s="34"/>
      <c r="W51" s="34"/>
      <c r="X51" s="34"/>
      <c r="Y51" s="34"/>
      <c r="Z51" s="34"/>
      <c r="AA51" s="34"/>
      <c r="AB51" s="374" t="s">
        <v>62</v>
      </c>
      <c r="AC51" s="375"/>
      <c r="AD51" s="375"/>
      <c r="AE51" s="375"/>
      <c r="AF51" s="375"/>
      <c r="AG51" s="375"/>
      <c r="AH51" s="30"/>
      <c r="AI51" s="30"/>
      <c r="AJ51" s="375" t="s">
        <v>63</v>
      </c>
      <c r="AK51" s="375"/>
      <c r="AL51" s="375"/>
      <c r="AM51" s="30"/>
      <c r="AN51" s="30"/>
      <c r="AO51" s="30"/>
      <c r="AP51" s="375" t="s">
        <v>64</v>
      </c>
      <c r="AQ51" s="375"/>
      <c r="AR51" s="30"/>
      <c r="AS51" s="30"/>
      <c r="AT51" s="30"/>
      <c r="AU51" s="375" t="s">
        <v>65</v>
      </c>
      <c r="AV51" s="375"/>
      <c r="AW51" s="375"/>
      <c r="AX51" s="375"/>
      <c r="AY51" s="375"/>
      <c r="AZ51" s="30"/>
      <c r="BA51" s="375" t="s">
        <v>66</v>
      </c>
      <c r="BB51" s="375"/>
      <c r="BC51" s="375"/>
      <c r="BD51" s="375"/>
      <c r="BE51" s="375"/>
      <c r="BF51" s="375"/>
      <c r="BG51" s="375"/>
      <c r="BH51" s="375"/>
      <c r="BI51" s="375"/>
      <c r="BJ51" s="375"/>
      <c r="BK51" s="375"/>
      <c r="BL51" s="376"/>
    </row>
    <row r="52" spans="1:64" ht="15.75">
      <c r="A52" s="279" t="s">
        <v>67</v>
      </c>
      <c r="B52" s="277"/>
      <c r="C52" s="277"/>
      <c r="D52" s="277"/>
      <c r="E52" s="277"/>
      <c r="F52" s="277"/>
      <c r="G52" s="277"/>
      <c r="H52" s="277"/>
      <c r="I52" s="277"/>
      <c r="J52" s="277"/>
      <c r="K52" s="277"/>
      <c r="L52" s="277"/>
      <c r="M52" s="278"/>
      <c r="N52" s="37"/>
      <c r="O52" s="349"/>
      <c r="P52" s="349"/>
      <c r="Q52" s="349"/>
      <c r="R52" s="349"/>
      <c r="S52" s="349"/>
      <c r="T52" s="349"/>
      <c r="U52" s="349"/>
      <c r="V52" s="349"/>
      <c r="W52" s="349"/>
      <c r="X52" s="349"/>
      <c r="Y52" s="349"/>
      <c r="Z52" s="349"/>
      <c r="AA52" s="32"/>
      <c r="AB52" s="52"/>
      <c r="AC52" s="377"/>
      <c r="AD52" s="377"/>
      <c r="AE52" s="377"/>
      <c r="AF52" s="377"/>
      <c r="AG52" s="377"/>
      <c r="AH52" s="377"/>
      <c r="AI52" s="377"/>
      <c r="AJ52" s="377"/>
      <c r="AK52" s="377"/>
      <c r="AL52" s="377"/>
      <c r="AM52" s="377"/>
      <c r="AN52" s="39"/>
      <c r="AO52" s="1356" t="str">
        <f>AT1</f>
        <v>126-91929552</v>
      </c>
      <c r="AP52" s="1357"/>
      <c r="AQ52" s="1357"/>
      <c r="AR52" s="1357"/>
      <c r="AS52" s="1357"/>
      <c r="AT52" s="1357"/>
      <c r="AU52" s="1357"/>
      <c r="AV52" s="1357"/>
      <c r="AW52" s="1357"/>
      <c r="AX52" s="1357"/>
      <c r="AY52" s="1357"/>
      <c r="AZ52" s="1357"/>
      <c r="BA52" s="1357"/>
      <c r="BB52" s="1357"/>
      <c r="BC52" s="1357"/>
      <c r="BD52" s="1357"/>
      <c r="BE52" s="1357"/>
      <c r="BF52" s="1357"/>
      <c r="BG52" s="1357"/>
      <c r="BH52" s="1357"/>
      <c r="BI52" s="1357"/>
      <c r="BJ52" s="1357"/>
      <c r="BK52" s="1357"/>
      <c r="BL52" s="1357"/>
    </row>
    <row r="53" spans="1:64" ht="7.5" customHeight="1">
      <c r="A53" s="374"/>
      <c r="B53" s="375"/>
      <c r="C53" s="375"/>
      <c r="D53" s="375"/>
      <c r="E53" s="375"/>
      <c r="F53" s="375"/>
      <c r="G53" s="375"/>
      <c r="H53" s="375"/>
      <c r="I53" s="375"/>
      <c r="J53" s="375"/>
      <c r="K53" s="375"/>
      <c r="L53" s="375"/>
      <c r="M53" s="376"/>
      <c r="N53" s="40"/>
      <c r="O53" s="34"/>
      <c r="P53" s="34"/>
      <c r="Q53" s="34"/>
      <c r="R53" s="34"/>
      <c r="S53" s="34"/>
      <c r="T53" s="34"/>
      <c r="U53" s="34"/>
      <c r="V53" s="34"/>
      <c r="W53" s="34"/>
      <c r="X53" s="34"/>
      <c r="Y53" s="34"/>
      <c r="Z53" s="34"/>
      <c r="AA53" s="34"/>
      <c r="AB53" s="40"/>
      <c r="AC53" s="34"/>
      <c r="AD53" s="34"/>
      <c r="AE53" s="34"/>
      <c r="AF53" s="34"/>
      <c r="AG53" s="34"/>
      <c r="AH53" s="34"/>
      <c r="AI53" s="34"/>
      <c r="AJ53" s="34"/>
      <c r="AK53" s="34"/>
      <c r="AL53" s="34"/>
      <c r="AM53" s="34"/>
      <c r="AN53" s="35"/>
      <c r="AO53" s="1358"/>
      <c r="AP53" s="1359"/>
      <c r="AQ53" s="1359"/>
      <c r="AR53" s="1359"/>
      <c r="AS53" s="1359"/>
      <c r="AT53" s="1359"/>
      <c r="AU53" s="1359"/>
      <c r="AV53" s="1359"/>
      <c r="AW53" s="1359"/>
      <c r="AX53" s="1359"/>
      <c r="AY53" s="1359"/>
      <c r="AZ53" s="1359"/>
      <c r="BA53" s="1359"/>
      <c r="BB53" s="1359"/>
      <c r="BC53" s="1359"/>
      <c r="BD53" s="1359"/>
      <c r="BE53" s="1359"/>
      <c r="BF53" s="1359"/>
      <c r="BG53" s="1359"/>
      <c r="BH53" s="1359"/>
      <c r="BI53" s="1359"/>
      <c r="BJ53" s="1359"/>
      <c r="BK53" s="1359"/>
      <c r="BL53" s="1359"/>
    </row>
    <row r="54" spans="1:64" ht="15.75">
      <c r="A54" s="378" t="s">
        <v>78</v>
      </c>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8"/>
      <c r="BK54" s="378"/>
      <c r="BL54" s="378"/>
    </row>
  </sheetData>
  <mergeCells count="100">
    <mergeCell ref="AH13:BL19"/>
    <mergeCell ref="A14:AG15"/>
    <mergeCell ref="A16:P17"/>
    <mergeCell ref="Q16:AG17"/>
    <mergeCell ref="A4:AG6"/>
    <mergeCell ref="AH7:BL12"/>
    <mergeCell ref="A9:AG12"/>
    <mergeCell ref="AN2:BL5"/>
    <mergeCell ref="A7:S7"/>
    <mergeCell ref="T7:AG7"/>
    <mergeCell ref="A13:AG13"/>
    <mergeCell ref="A18:AG18"/>
    <mergeCell ref="A19:AG19"/>
    <mergeCell ref="AL20:AM21"/>
    <mergeCell ref="A26:BL26"/>
    <mergeCell ref="L27:Q27"/>
    <mergeCell ref="M28:Q28"/>
    <mergeCell ref="AS27:BL28"/>
    <mergeCell ref="A22:Q22"/>
    <mergeCell ref="R22:U22"/>
    <mergeCell ref="V22:AC22"/>
    <mergeCell ref="A20:C21"/>
    <mergeCell ref="V20:X21"/>
    <mergeCell ref="Y20:AA21"/>
    <mergeCell ref="AB20:AD21"/>
    <mergeCell ref="AE20:AG21"/>
    <mergeCell ref="O52:Z52"/>
    <mergeCell ref="AC52:AM52"/>
    <mergeCell ref="A54:BL54"/>
    <mergeCell ref="J27:J28"/>
    <mergeCell ref="J29:J35"/>
    <mergeCell ref="K27:K35"/>
    <mergeCell ref="L29:L35"/>
    <mergeCell ref="R27:R35"/>
    <mergeCell ref="Z27:Z35"/>
    <mergeCell ref="AH27:AH35"/>
    <mergeCell ref="AR27:AR35"/>
    <mergeCell ref="A52:M53"/>
    <mergeCell ref="AO52:BL53"/>
    <mergeCell ref="A44:M45"/>
    <mergeCell ref="AB44:BL45"/>
    <mergeCell ref="A48:M49"/>
    <mergeCell ref="AS29:BL35"/>
    <mergeCell ref="S29:Y35"/>
    <mergeCell ref="A35:C35"/>
    <mergeCell ref="AB51:AG51"/>
    <mergeCell ref="AJ51:AL51"/>
    <mergeCell ref="AP51:AQ51"/>
    <mergeCell ref="AU51:AY51"/>
    <mergeCell ref="BA51:BL51"/>
    <mergeCell ref="S36:Y36"/>
    <mergeCell ref="AB46:BL46"/>
    <mergeCell ref="O48:Z48"/>
    <mergeCell ref="B50:L50"/>
    <mergeCell ref="O50:Z50"/>
    <mergeCell ref="AC50:AK50"/>
    <mergeCell ref="AO50:AR50"/>
    <mergeCell ref="A36:M37"/>
    <mergeCell ref="AI36:AQ37"/>
    <mergeCell ref="AB38:BL39"/>
    <mergeCell ref="AB40:BL41"/>
    <mergeCell ref="AB42:BL43"/>
    <mergeCell ref="A27:C28"/>
    <mergeCell ref="D27:I28"/>
    <mergeCell ref="A23:Q23"/>
    <mergeCell ref="Z23:AG23"/>
    <mergeCell ref="AH23:AQ23"/>
    <mergeCell ref="A24:BL24"/>
    <mergeCell ref="A25:BL25"/>
    <mergeCell ref="S27:Y28"/>
    <mergeCell ref="AR22:BL23"/>
    <mergeCell ref="AI27:AQ28"/>
    <mergeCell ref="D35:I35"/>
    <mergeCell ref="AI35:AQ35"/>
    <mergeCell ref="A29:C34"/>
    <mergeCell ref="D29:I34"/>
    <mergeCell ref="M29:Q35"/>
    <mergeCell ref="AA29:AG35"/>
    <mergeCell ref="AI29:AQ34"/>
    <mergeCell ref="AD22:AG22"/>
    <mergeCell ref="AH22:AQ22"/>
    <mergeCell ref="BE20:BL20"/>
    <mergeCell ref="D21:U21"/>
    <mergeCell ref="AH21:AK21"/>
    <mergeCell ref="AN21:AO21"/>
    <mergeCell ref="AP21:AQ21"/>
    <mergeCell ref="AR21:AS21"/>
    <mergeCell ref="AT21:AU21"/>
    <mergeCell ref="AV21:BD21"/>
    <mergeCell ref="BE21:BL21"/>
    <mergeCell ref="D20:U20"/>
    <mergeCell ref="AH20:AK20"/>
    <mergeCell ref="AN20:AQ20"/>
    <mergeCell ref="AR20:AU20"/>
    <mergeCell ref="AV20:BD20"/>
    <mergeCell ref="A1:C1"/>
    <mergeCell ref="D1:F1"/>
    <mergeCell ref="G1:S1"/>
    <mergeCell ref="AT1:BJ1"/>
    <mergeCell ref="AH6:BL6"/>
  </mergeCells>
  <pageMargins left="0.23958333333333301" right="0.23958333333333301" top="0" bottom="0.75" header="0" footer="0.30972222222222201"/>
  <pageSetup paperSize="9" scale="99" orientation="portrait" verticalDpi="20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L54"/>
  <sheetViews>
    <sheetView showGridLines="0" view="pageLayout" topLeftCell="A26" zoomScale="126" zoomScaleNormal="100" zoomScalePageLayoutView="126" workbookViewId="0">
      <selection activeCell="BM36" sqref="A36:XFD36"/>
    </sheetView>
  </sheetViews>
  <sheetFormatPr defaultColWidth="9" defaultRowHeight="15"/>
  <cols>
    <col min="1" max="65" width="1.5703125" customWidth="1"/>
  </cols>
  <sheetData>
    <row r="1" spans="1:64" ht="22.5" customHeight="1">
      <c r="A1" s="264">
        <f>'1'!A1</f>
        <v>126</v>
      </c>
      <c r="B1" s="264"/>
      <c r="C1" s="265"/>
      <c r="D1" s="1133" t="s">
        <v>0</v>
      </c>
      <c r="E1" s="458"/>
      <c r="F1" s="1134"/>
      <c r="G1" s="269">
        <f>'1'!G1</f>
        <v>91929552</v>
      </c>
      <c r="H1" s="270"/>
      <c r="I1" s="270"/>
      <c r="J1" s="270"/>
      <c r="K1" s="270"/>
      <c r="L1" s="270"/>
      <c r="M1" s="270"/>
      <c r="N1" s="270"/>
      <c r="O1" s="270"/>
      <c r="P1" s="270"/>
      <c r="Q1" s="270"/>
      <c r="R1" s="270"/>
      <c r="S1" s="270"/>
      <c r="AT1" s="267" t="str">
        <f>'1'!AT1</f>
        <v>126-91929552</v>
      </c>
      <c r="AU1" s="267"/>
      <c r="AV1" s="267"/>
      <c r="AW1" s="267"/>
      <c r="AX1" s="267"/>
      <c r="AY1" s="267"/>
      <c r="AZ1" s="267"/>
      <c r="BA1" s="267"/>
      <c r="BB1" s="267"/>
      <c r="BC1" s="267"/>
      <c r="BD1" s="267"/>
      <c r="BE1" s="267"/>
      <c r="BF1" s="267"/>
      <c r="BG1" s="267"/>
      <c r="BH1" s="267"/>
      <c r="BI1" s="267"/>
      <c r="BJ1" s="267"/>
    </row>
    <row r="2" spans="1:64">
      <c r="A2" s="1" t="s">
        <v>1</v>
      </c>
      <c r="B2" s="2"/>
      <c r="C2" s="2"/>
      <c r="D2" s="2"/>
      <c r="E2" s="2"/>
      <c r="F2" s="2"/>
      <c r="G2" s="2"/>
      <c r="H2" s="2"/>
      <c r="I2" s="2"/>
      <c r="J2" s="2"/>
      <c r="K2" s="2"/>
      <c r="L2" s="2"/>
      <c r="M2" s="2"/>
      <c r="N2" s="2"/>
      <c r="O2" s="2"/>
      <c r="P2" s="2"/>
      <c r="Q2" s="2"/>
      <c r="R2" s="2"/>
      <c r="S2" s="2"/>
      <c r="T2" s="1" t="s">
        <v>2</v>
      </c>
      <c r="U2" s="2"/>
      <c r="V2" s="2"/>
      <c r="W2" s="2"/>
      <c r="X2" s="2"/>
      <c r="Y2" s="2"/>
      <c r="Z2" s="2"/>
      <c r="AA2" s="2"/>
      <c r="AB2" s="2"/>
      <c r="AC2" s="2"/>
      <c r="AD2" s="2"/>
      <c r="AE2" s="2"/>
      <c r="AF2" s="2"/>
      <c r="AG2" s="3"/>
      <c r="AH2" s="4" t="s">
        <v>3</v>
      </c>
      <c r="AI2" s="4"/>
      <c r="AJ2" s="4"/>
      <c r="AK2" s="4"/>
      <c r="AL2" s="4"/>
      <c r="AM2" s="4"/>
      <c r="AN2" s="449" t="str">
        <f>'1'!AN2</f>
        <v>GARUDA INDONESIA</v>
      </c>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50"/>
    </row>
    <row r="3" spans="1:64" ht="16.5">
      <c r="A3" s="5" t="str">
        <f>'1'!A3</f>
        <v>PT. NUR INFINIT INDOALEA GLOBAL</v>
      </c>
      <c r="B3" s="6"/>
      <c r="C3" s="6"/>
      <c r="D3" s="6"/>
      <c r="E3" s="6"/>
      <c r="F3" s="6"/>
      <c r="G3" s="6"/>
      <c r="H3" s="6"/>
      <c r="I3" s="6"/>
      <c r="J3" s="6"/>
      <c r="K3" s="6"/>
      <c r="L3" s="6"/>
      <c r="M3" s="6"/>
      <c r="N3" s="6"/>
      <c r="O3" s="6"/>
      <c r="P3" s="6"/>
      <c r="Q3" s="6"/>
      <c r="R3" s="6"/>
      <c r="S3" s="6"/>
      <c r="T3" s="7"/>
      <c r="U3" s="8"/>
      <c r="V3" s="8"/>
      <c r="W3" s="8"/>
      <c r="X3" s="8"/>
      <c r="Y3" s="8"/>
      <c r="Z3" s="8"/>
      <c r="AA3" s="8"/>
      <c r="AB3" s="8"/>
      <c r="AC3" s="8"/>
      <c r="AD3" s="8"/>
      <c r="AE3" s="8"/>
      <c r="AF3" s="8"/>
      <c r="AG3" s="9"/>
      <c r="AH3" s="1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2"/>
    </row>
    <row r="4" spans="1:64">
      <c r="A4" s="440"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12"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2"/>
    </row>
    <row r="5" spans="1:64">
      <c r="A5" s="442"/>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441"/>
      <c r="AH5" s="13"/>
      <c r="AI5" s="14"/>
      <c r="AJ5" s="14"/>
      <c r="AK5" s="14"/>
      <c r="AL5" s="14"/>
      <c r="AM5" s="14"/>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4"/>
    </row>
    <row r="6" spans="1:64">
      <c r="A6" s="442"/>
      <c r="B6" s="441"/>
      <c r="C6" s="441"/>
      <c r="D6" s="441"/>
      <c r="E6" s="441"/>
      <c r="F6" s="441"/>
      <c r="G6" s="441"/>
      <c r="H6" s="441"/>
      <c r="I6" s="441"/>
      <c r="J6" s="441"/>
      <c r="K6" s="441"/>
      <c r="L6" s="441"/>
      <c r="M6" s="441"/>
      <c r="N6" s="441"/>
      <c r="O6" s="441"/>
      <c r="P6" s="441"/>
      <c r="Q6" s="441"/>
      <c r="R6" s="441"/>
      <c r="S6" s="441"/>
      <c r="T6" s="443"/>
      <c r="U6" s="443"/>
      <c r="V6" s="443"/>
      <c r="W6" s="443"/>
      <c r="X6" s="443"/>
      <c r="Y6" s="443"/>
      <c r="Z6" s="443"/>
      <c r="AA6" s="443"/>
      <c r="AB6" s="443"/>
      <c r="AC6" s="443"/>
      <c r="AD6" s="443"/>
      <c r="AE6" s="443"/>
      <c r="AF6" s="443"/>
      <c r="AG6" s="444"/>
      <c r="AH6" s="271" t="s">
        <v>9</v>
      </c>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row>
    <row r="7" spans="1:64">
      <c r="A7" s="455" t="s">
        <v>10</v>
      </c>
      <c r="B7" s="337"/>
      <c r="C7" s="337"/>
      <c r="D7" s="337"/>
      <c r="E7" s="337"/>
      <c r="F7" s="337"/>
      <c r="G7" s="337"/>
      <c r="H7" s="337"/>
      <c r="I7" s="337"/>
      <c r="J7" s="337"/>
      <c r="K7" s="337"/>
      <c r="L7" s="337"/>
      <c r="M7" s="337"/>
      <c r="N7" s="337"/>
      <c r="O7" s="337"/>
      <c r="P7" s="337"/>
      <c r="Q7" s="337"/>
      <c r="R7" s="337"/>
      <c r="S7" s="337"/>
      <c r="T7" s="455" t="s">
        <v>11</v>
      </c>
      <c r="U7" s="337"/>
      <c r="V7" s="337"/>
      <c r="W7" s="337"/>
      <c r="X7" s="337"/>
      <c r="Y7" s="337"/>
      <c r="Z7" s="337"/>
      <c r="AA7" s="337"/>
      <c r="AB7" s="337"/>
      <c r="AC7" s="337"/>
      <c r="AD7" s="337"/>
      <c r="AE7" s="337"/>
      <c r="AF7" s="337"/>
      <c r="AG7" s="338"/>
      <c r="AH7" s="445" t="s">
        <v>12</v>
      </c>
      <c r="AI7" s="446"/>
      <c r="AJ7" s="446"/>
      <c r="AK7" s="446"/>
      <c r="AL7" s="446"/>
      <c r="AM7" s="446"/>
      <c r="AN7" s="446"/>
      <c r="AO7" s="446"/>
      <c r="AP7" s="446"/>
      <c r="AQ7" s="446"/>
      <c r="AR7" s="446"/>
      <c r="AS7" s="446"/>
      <c r="AT7" s="446"/>
      <c r="AU7" s="446"/>
      <c r="AV7" s="446"/>
      <c r="AW7" s="446"/>
      <c r="AX7" s="446"/>
      <c r="AY7" s="446"/>
      <c r="AZ7" s="446"/>
      <c r="BA7" s="446"/>
      <c r="BB7" s="446"/>
      <c r="BC7" s="446"/>
      <c r="BD7" s="446"/>
      <c r="BE7" s="446"/>
      <c r="BF7" s="446"/>
      <c r="BG7" s="446"/>
      <c r="BH7" s="446"/>
      <c r="BI7" s="446"/>
      <c r="BJ7" s="446"/>
      <c r="BK7" s="446"/>
      <c r="BL7" s="446"/>
    </row>
    <row r="8" spans="1:64" ht="15.75">
      <c r="A8" s="263" t="str">
        <f>'1'!A8</f>
        <v>LINEHAUL EXPRESS SINGAPORE PTE LTD</v>
      </c>
      <c r="B8" s="59"/>
      <c r="C8" s="15"/>
      <c r="D8" s="15"/>
      <c r="E8" s="15"/>
      <c r="F8" s="15"/>
      <c r="G8" s="15"/>
      <c r="H8" s="15"/>
      <c r="I8" s="15"/>
      <c r="J8" s="15"/>
      <c r="K8" s="15"/>
      <c r="L8" s="15"/>
      <c r="M8" s="15"/>
      <c r="N8" s="15"/>
      <c r="O8" s="15"/>
      <c r="P8" s="15"/>
      <c r="Q8" s="15"/>
      <c r="R8" s="15"/>
      <c r="S8" s="15"/>
      <c r="T8" s="7"/>
      <c r="U8" s="8"/>
      <c r="V8" s="8"/>
      <c r="W8" s="8"/>
      <c r="X8" s="8"/>
      <c r="Y8" s="8"/>
      <c r="Z8" s="8"/>
      <c r="AA8" s="8"/>
      <c r="AB8" s="8"/>
      <c r="AC8" s="8"/>
      <c r="AD8" s="8"/>
      <c r="AE8" s="8"/>
      <c r="AF8" s="8"/>
      <c r="AG8" s="9"/>
      <c r="AH8" s="447"/>
      <c r="AI8" s="446"/>
      <c r="AJ8" s="446"/>
      <c r="AK8" s="446"/>
      <c r="AL8" s="446"/>
      <c r="AM8" s="446"/>
      <c r="AN8" s="446"/>
      <c r="AO8" s="446"/>
      <c r="AP8" s="446"/>
      <c r="AQ8" s="446"/>
      <c r="AR8" s="446"/>
      <c r="AS8" s="446"/>
      <c r="AT8" s="446"/>
      <c r="AU8" s="446"/>
      <c r="AV8" s="446"/>
      <c r="AW8" s="446"/>
      <c r="AX8" s="446"/>
      <c r="AY8" s="446"/>
      <c r="AZ8" s="446"/>
      <c r="BA8" s="446"/>
      <c r="BB8" s="446"/>
      <c r="BC8" s="446"/>
      <c r="BD8" s="446"/>
      <c r="BE8" s="446"/>
      <c r="BF8" s="446"/>
      <c r="BG8" s="446"/>
      <c r="BH8" s="446"/>
      <c r="BI8" s="446"/>
      <c r="BJ8" s="446"/>
      <c r="BK8" s="446"/>
      <c r="BL8" s="446"/>
    </row>
    <row r="9" spans="1:64">
      <c r="A9" s="448"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447"/>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row>
    <row r="10" spans="1:64">
      <c r="A10" s="339"/>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447"/>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row>
    <row r="11" spans="1:64">
      <c r="A11" s="339"/>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1"/>
      <c r="AH11" s="447"/>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row>
    <row r="12" spans="1:64">
      <c r="A12" s="339"/>
      <c r="B12" s="340"/>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1"/>
      <c r="AH12" s="447"/>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46"/>
      <c r="BE12" s="446"/>
      <c r="BF12" s="446"/>
      <c r="BG12" s="446"/>
      <c r="BH12" s="446"/>
      <c r="BI12" s="446"/>
      <c r="BJ12" s="446"/>
      <c r="BK12" s="446"/>
      <c r="BL12" s="446"/>
    </row>
    <row r="13" spans="1:64">
      <c r="A13" s="455" t="s">
        <v>15</v>
      </c>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8"/>
      <c r="AH13" s="337" t="s">
        <v>16</v>
      </c>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8"/>
    </row>
    <row r="14" spans="1:64">
      <c r="A14" s="433"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5"/>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431"/>
    </row>
    <row r="15" spans="1:64">
      <c r="A15" s="436"/>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8"/>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431"/>
    </row>
    <row r="16" spans="1:64">
      <c r="A16" s="417" t="s">
        <v>18</v>
      </c>
      <c r="B16" s="417"/>
      <c r="C16" s="417"/>
      <c r="D16" s="417"/>
      <c r="E16" s="417"/>
      <c r="F16" s="417"/>
      <c r="G16" s="417"/>
      <c r="H16" s="417"/>
      <c r="I16" s="417"/>
      <c r="J16" s="417"/>
      <c r="K16" s="417"/>
      <c r="L16" s="417"/>
      <c r="M16" s="417"/>
      <c r="N16" s="417"/>
      <c r="O16" s="417"/>
      <c r="P16" s="417"/>
      <c r="Q16" s="417" t="s">
        <v>19</v>
      </c>
      <c r="R16" s="417"/>
      <c r="S16" s="417"/>
      <c r="T16" s="417"/>
      <c r="U16" s="417"/>
      <c r="V16" s="417"/>
      <c r="W16" s="417"/>
      <c r="X16" s="417"/>
      <c r="Y16" s="417"/>
      <c r="Z16" s="417"/>
      <c r="AA16" s="417"/>
      <c r="AB16" s="417"/>
      <c r="AC16" s="417"/>
      <c r="AD16" s="417"/>
      <c r="AE16" s="417"/>
      <c r="AF16" s="417"/>
      <c r="AG16" s="417"/>
      <c r="AH16" s="335"/>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431"/>
    </row>
    <row r="17" spans="1:64">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335"/>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431"/>
    </row>
    <row r="18" spans="1:64">
      <c r="A18" s="455" t="s">
        <v>20</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8"/>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431"/>
    </row>
    <row r="19" spans="1:64">
      <c r="A19" s="436" t="str">
        <f>'1'!A19</f>
        <v>SOEKARNO-HATTA INTERNATIONAL AIRPORT</v>
      </c>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8"/>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2"/>
      <c r="BK19" s="432"/>
      <c r="BL19" s="416"/>
    </row>
    <row r="20" spans="1:64" ht="15" customHeight="1">
      <c r="A20" s="413" t="str">
        <f>'1'!A20</f>
        <v>SIN</v>
      </c>
      <c r="B20" s="413"/>
      <c r="C20" s="286"/>
      <c r="D20" s="294" t="s">
        <v>23</v>
      </c>
      <c r="E20" s="295"/>
      <c r="F20" s="295"/>
      <c r="G20" s="295"/>
      <c r="H20" s="295"/>
      <c r="I20" s="295"/>
      <c r="J20" s="295"/>
      <c r="K20" s="295"/>
      <c r="L20" s="295"/>
      <c r="M20" s="295"/>
      <c r="N20" s="295"/>
      <c r="O20" s="295"/>
      <c r="P20" s="295"/>
      <c r="Q20" s="295"/>
      <c r="R20" s="295"/>
      <c r="S20" s="295"/>
      <c r="T20" s="295"/>
      <c r="U20" s="296"/>
      <c r="V20" s="416" t="s">
        <v>26</v>
      </c>
      <c r="W20" s="417"/>
      <c r="X20" s="417"/>
      <c r="Y20" s="417" t="s">
        <v>27</v>
      </c>
      <c r="Z20" s="417"/>
      <c r="AA20" s="417"/>
      <c r="AB20" s="417" t="s">
        <v>26</v>
      </c>
      <c r="AC20" s="417"/>
      <c r="AD20" s="417"/>
      <c r="AE20" s="417" t="s">
        <v>27</v>
      </c>
      <c r="AF20" s="417"/>
      <c r="AG20" s="417"/>
      <c r="AH20" s="276" t="s">
        <v>28</v>
      </c>
      <c r="AI20" s="277"/>
      <c r="AJ20" s="277"/>
      <c r="AK20" s="278"/>
      <c r="AL20" s="420" t="s">
        <v>29</v>
      </c>
      <c r="AM20" s="421"/>
      <c r="AN20" s="297" t="s">
        <v>30</v>
      </c>
      <c r="AO20" s="297"/>
      <c r="AP20" s="297"/>
      <c r="AQ20" s="297"/>
      <c r="AR20" s="297" t="s">
        <v>31</v>
      </c>
      <c r="AS20" s="297"/>
      <c r="AT20" s="297"/>
      <c r="AU20" s="297"/>
      <c r="AV20" s="279" t="s">
        <v>32</v>
      </c>
      <c r="AW20" s="280"/>
      <c r="AX20" s="280"/>
      <c r="AY20" s="280"/>
      <c r="AZ20" s="280"/>
      <c r="BA20" s="280"/>
      <c r="BB20" s="280"/>
      <c r="BC20" s="280"/>
      <c r="BD20" s="281"/>
      <c r="BE20" s="279" t="s">
        <v>33</v>
      </c>
      <c r="BF20" s="280"/>
      <c r="BG20" s="280"/>
      <c r="BH20" s="280"/>
      <c r="BI20" s="280"/>
      <c r="BJ20" s="280"/>
      <c r="BK20" s="280"/>
      <c r="BL20" s="281"/>
    </row>
    <row r="21" spans="1:64">
      <c r="A21" s="414"/>
      <c r="B21" s="414"/>
      <c r="C21" s="415"/>
      <c r="D21" s="282" t="str">
        <f>'1'!D21</f>
        <v>GARUDA INDONESIA</v>
      </c>
      <c r="E21" s="283"/>
      <c r="F21" s="283"/>
      <c r="G21" s="283"/>
      <c r="H21" s="283"/>
      <c r="I21" s="283"/>
      <c r="J21" s="283"/>
      <c r="K21" s="283"/>
      <c r="L21" s="283"/>
      <c r="M21" s="283"/>
      <c r="N21" s="283"/>
      <c r="O21" s="283"/>
      <c r="P21" s="283"/>
      <c r="Q21" s="283"/>
      <c r="R21" s="284"/>
      <c r="S21" s="284"/>
      <c r="T21" s="284"/>
      <c r="U21" s="285"/>
      <c r="V21" s="418"/>
      <c r="W21" s="419"/>
      <c r="X21" s="419"/>
      <c r="Y21" s="419"/>
      <c r="Z21" s="419"/>
      <c r="AA21" s="419"/>
      <c r="AB21" s="419"/>
      <c r="AC21" s="419"/>
      <c r="AD21" s="419"/>
      <c r="AE21" s="419"/>
      <c r="AF21" s="419"/>
      <c r="AG21" s="419"/>
      <c r="AH21" s="286" t="str">
        <f>'1'!AH21</f>
        <v>IDR</v>
      </c>
      <c r="AI21" s="287"/>
      <c r="AJ21" s="287"/>
      <c r="AK21" s="288"/>
      <c r="AL21" s="421"/>
      <c r="AM21" s="421"/>
      <c r="AN21" s="289" t="s">
        <v>72</v>
      </c>
      <c r="AO21" s="290"/>
      <c r="AP21" s="289" t="s">
        <v>73</v>
      </c>
      <c r="AQ21" s="290"/>
      <c r="AR21" s="289" t="s">
        <v>72</v>
      </c>
      <c r="AS21" s="290"/>
      <c r="AT21" s="290" t="s">
        <v>36</v>
      </c>
      <c r="AU21" s="290"/>
      <c r="AV21" s="291" t="str">
        <f>'1'!AV21</f>
        <v>NVD</v>
      </c>
      <c r="AW21" s="292"/>
      <c r="AX21" s="292"/>
      <c r="AY21" s="292"/>
      <c r="AZ21" s="292"/>
      <c r="BA21" s="292"/>
      <c r="BB21" s="292"/>
      <c r="BC21" s="292"/>
      <c r="BD21" s="293"/>
      <c r="BE21" s="291" t="str">
        <f>'1'!BE21</f>
        <v>NCV</v>
      </c>
      <c r="BF21" s="292"/>
      <c r="BG21" s="292"/>
      <c r="BH21" s="292"/>
      <c r="BI21" s="292"/>
      <c r="BJ21" s="292"/>
      <c r="BK21" s="292"/>
      <c r="BL21" s="293"/>
    </row>
    <row r="22" spans="1:64">
      <c r="A22" s="428" t="s">
        <v>39</v>
      </c>
      <c r="B22" s="429"/>
      <c r="C22" s="429"/>
      <c r="D22" s="429"/>
      <c r="E22" s="429"/>
      <c r="F22" s="429"/>
      <c r="G22" s="429"/>
      <c r="H22" s="429"/>
      <c r="I22" s="429"/>
      <c r="J22" s="429"/>
      <c r="K22" s="429"/>
      <c r="L22" s="429"/>
      <c r="M22" s="429"/>
      <c r="N22" s="429"/>
      <c r="O22" s="429"/>
      <c r="P22" s="429"/>
      <c r="Q22" s="430"/>
      <c r="R22" s="273" t="s">
        <v>40</v>
      </c>
      <c r="S22" s="273"/>
      <c r="T22" s="273"/>
      <c r="U22" s="273"/>
      <c r="V22" s="273"/>
      <c r="W22" s="273"/>
      <c r="X22" s="273"/>
      <c r="Y22" s="273"/>
      <c r="Z22" s="273"/>
      <c r="AA22" s="273"/>
      <c r="AB22" s="273"/>
      <c r="AC22" s="273"/>
      <c r="AD22" s="273" t="s">
        <v>40</v>
      </c>
      <c r="AE22" s="274"/>
      <c r="AF22" s="274"/>
      <c r="AG22" s="275"/>
      <c r="AH22" s="276" t="s">
        <v>41</v>
      </c>
      <c r="AI22" s="277"/>
      <c r="AJ22" s="277"/>
      <c r="AK22" s="277"/>
      <c r="AL22" s="277"/>
      <c r="AM22" s="277"/>
      <c r="AN22" s="277"/>
      <c r="AO22" s="277"/>
      <c r="AP22" s="277"/>
      <c r="AQ22" s="278"/>
      <c r="AR22" s="407" t="s">
        <v>42</v>
      </c>
      <c r="AS22" s="408"/>
      <c r="AT22" s="408"/>
      <c r="AU22" s="408"/>
      <c r="AV22" s="408"/>
      <c r="AW22" s="408"/>
      <c r="AX22" s="408"/>
      <c r="AY22" s="408"/>
      <c r="AZ22" s="408"/>
      <c r="BA22" s="408"/>
      <c r="BB22" s="408"/>
      <c r="BC22" s="408"/>
      <c r="BD22" s="408"/>
      <c r="BE22" s="408"/>
      <c r="BF22" s="408"/>
      <c r="BG22" s="408"/>
      <c r="BH22" s="408"/>
      <c r="BI22" s="408"/>
      <c r="BJ22" s="408"/>
      <c r="BK22" s="408"/>
      <c r="BL22" s="409"/>
    </row>
    <row r="23" spans="1:64">
      <c r="A23" s="329" t="str">
        <f>'1'!A23</f>
        <v>SINGAPORE</v>
      </c>
      <c r="B23" s="330"/>
      <c r="C23" s="330"/>
      <c r="D23" s="330"/>
      <c r="E23" s="330"/>
      <c r="F23" s="330"/>
      <c r="G23" s="330"/>
      <c r="H23" s="330"/>
      <c r="I23" s="330"/>
      <c r="J23" s="330"/>
      <c r="K23" s="330"/>
      <c r="L23" s="330"/>
      <c r="M23" s="330"/>
      <c r="N23" s="330"/>
      <c r="O23" s="330"/>
      <c r="P23" s="330"/>
      <c r="Q23" s="331"/>
      <c r="R23" s="16" t="str">
        <f>'7'!R23</f>
        <v>GA 824</v>
      </c>
      <c r="S23" s="16"/>
      <c r="T23" s="16"/>
      <c r="U23" s="16"/>
      <c r="V23" s="16"/>
      <c r="W23" s="16"/>
      <c r="X23" s="16"/>
      <c r="Y23" s="17"/>
      <c r="Z23" s="332">
        <f>'7'!Z23</f>
        <v>46171</v>
      </c>
      <c r="AA23" s="333"/>
      <c r="AB23" s="333"/>
      <c r="AC23" s="333"/>
      <c r="AD23" s="333"/>
      <c r="AE23" s="333"/>
      <c r="AF23" s="333"/>
      <c r="AG23" s="334"/>
      <c r="AH23" s="286" t="s">
        <v>45</v>
      </c>
      <c r="AI23" s="287"/>
      <c r="AJ23" s="287"/>
      <c r="AK23" s="287"/>
      <c r="AL23" s="287"/>
      <c r="AM23" s="287"/>
      <c r="AN23" s="287"/>
      <c r="AO23" s="287"/>
      <c r="AP23" s="287"/>
      <c r="AQ23" s="288"/>
      <c r="AR23" s="410"/>
      <c r="AS23" s="411"/>
      <c r="AT23" s="411"/>
      <c r="AU23" s="411"/>
      <c r="AV23" s="411"/>
      <c r="AW23" s="411"/>
      <c r="AX23" s="411"/>
      <c r="AY23" s="411"/>
      <c r="AZ23" s="411"/>
      <c r="BA23" s="411"/>
      <c r="BB23" s="411"/>
      <c r="BC23" s="411"/>
      <c r="BD23" s="411"/>
      <c r="BE23" s="411"/>
      <c r="BF23" s="411"/>
      <c r="BG23" s="411"/>
      <c r="BH23" s="411"/>
      <c r="BI23" s="411"/>
      <c r="BJ23" s="411"/>
      <c r="BK23" s="411"/>
      <c r="BL23" s="412"/>
    </row>
    <row r="24" spans="1:64">
      <c r="A24" s="335" t="s">
        <v>46</v>
      </c>
      <c r="B24" s="336"/>
      <c r="C24" s="336"/>
      <c r="D24" s="336"/>
      <c r="E24" s="336"/>
      <c r="F24" s="336"/>
      <c r="G24" s="336"/>
      <c r="H24" s="336"/>
      <c r="I24" s="336"/>
      <c r="J24" s="336"/>
      <c r="K24" s="336"/>
      <c r="L24" s="336"/>
      <c r="M24" s="336"/>
      <c r="N24" s="336"/>
      <c r="O24" s="336"/>
      <c r="P24" s="336"/>
      <c r="Q24" s="336"/>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8"/>
    </row>
    <row r="25" spans="1:64">
      <c r="A25" s="18">
        <f>'1'!A25</f>
        <v>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20"/>
    </row>
    <row r="26" spans="1:64">
      <c r="A26" s="21">
        <f>'7'!A26</f>
        <v>0</v>
      </c>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3"/>
    </row>
    <row r="27" spans="1:64" ht="15.75">
      <c r="A27" s="327" t="s">
        <v>47</v>
      </c>
      <c r="B27" s="327"/>
      <c r="C27" s="327"/>
      <c r="D27" s="327" t="s">
        <v>48</v>
      </c>
      <c r="E27" s="327"/>
      <c r="F27" s="327"/>
      <c r="G27" s="327"/>
      <c r="H27" s="327"/>
      <c r="I27" s="327"/>
      <c r="J27" s="379" t="s">
        <v>49</v>
      </c>
      <c r="K27" s="382"/>
      <c r="L27" s="425" t="s">
        <v>50</v>
      </c>
      <c r="M27" s="406"/>
      <c r="N27" s="406"/>
      <c r="O27" s="406"/>
      <c r="P27" s="406"/>
      <c r="Q27" s="406"/>
      <c r="R27" s="382"/>
      <c r="S27" s="406" t="s">
        <v>51</v>
      </c>
      <c r="T27" s="406"/>
      <c r="U27" s="406"/>
      <c r="V27" s="406"/>
      <c r="W27" s="406"/>
      <c r="X27" s="406"/>
      <c r="Y27" s="406"/>
      <c r="Z27" s="382"/>
      <c r="AA27" s="24" t="s">
        <v>52</v>
      </c>
      <c r="AB27" s="25"/>
      <c r="AC27" s="25"/>
      <c r="AD27" s="25"/>
      <c r="AE27" s="25"/>
      <c r="AF27" s="25"/>
      <c r="AG27" s="26"/>
      <c r="AH27" s="384"/>
      <c r="AI27" s="406" t="s">
        <v>53</v>
      </c>
      <c r="AJ27" s="406"/>
      <c r="AK27" s="406"/>
      <c r="AL27" s="406"/>
      <c r="AM27" s="406"/>
      <c r="AN27" s="406"/>
      <c r="AO27" s="406"/>
      <c r="AP27" s="406"/>
      <c r="AQ27" s="406"/>
      <c r="AR27" s="382"/>
      <c r="AS27" s="327" t="s">
        <v>54</v>
      </c>
      <c r="AT27" s="406"/>
      <c r="AU27" s="406"/>
      <c r="AV27" s="406"/>
      <c r="AW27" s="406"/>
      <c r="AX27" s="406"/>
      <c r="AY27" s="406"/>
      <c r="AZ27" s="406"/>
      <c r="BA27" s="406"/>
      <c r="BB27" s="406"/>
      <c r="BC27" s="406"/>
      <c r="BD27" s="406"/>
      <c r="BE27" s="406"/>
      <c r="BF27" s="406"/>
      <c r="BG27" s="406"/>
      <c r="BH27" s="406"/>
      <c r="BI27" s="406"/>
      <c r="BJ27" s="406"/>
      <c r="BK27" s="406"/>
      <c r="BL27" s="406"/>
    </row>
    <row r="28" spans="1:64" ht="21" customHeight="1">
      <c r="A28" s="328"/>
      <c r="B28" s="328"/>
      <c r="C28" s="328"/>
      <c r="D28" s="328"/>
      <c r="E28" s="328"/>
      <c r="F28" s="328"/>
      <c r="G28" s="328"/>
      <c r="H28" s="328"/>
      <c r="I28" s="328"/>
      <c r="J28" s="380"/>
      <c r="K28" s="383"/>
      <c r="L28" s="27"/>
      <c r="M28" s="426" t="s">
        <v>55</v>
      </c>
      <c r="N28" s="426"/>
      <c r="O28" s="426"/>
      <c r="P28" s="426"/>
      <c r="Q28" s="427"/>
      <c r="R28" s="382"/>
      <c r="S28" s="297"/>
      <c r="T28" s="297"/>
      <c r="U28" s="297"/>
      <c r="V28" s="297"/>
      <c r="W28" s="297"/>
      <c r="X28" s="297"/>
      <c r="Y28" s="297"/>
      <c r="Z28" s="382"/>
      <c r="AA28" s="28"/>
      <c r="AB28" s="29"/>
      <c r="AC28" s="29"/>
      <c r="AD28" s="29"/>
      <c r="AE28" s="30" t="s">
        <v>56</v>
      </c>
      <c r="AF28" s="29"/>
      <c r="AG28" s="31"/>
      <c r="AH28" s="384"/>
      <c r="AI28" s="297"/>
      <c r="AJ28" s="297"/>
      <c r="AK28" s="297"/>
      <c r="AL28" s="297"/>
      <c r="AM28" s="297"/>
      <c r="AN28" s="297"/>
      <c r="AO28" s="297"/>
      <c r="AP28" s="297"/>
      <c r="AQ28" s="297"/>
      <c r="AR28" s="382"/>
      <c r="AS28" s="297"/>
      <c r="AT28" s="297"/>
      <c r="AU28" s="297"/>
      <c r="AV28" s="297"/>
      <c r="AW28" s="297"/>
      <c r="AX28" s="297"/>
      <c r="AY28" s="297"/>
      <c r="AZ28" s="297"/>
      <c r="BA28" s="297"/>
      <c r="BB28" s="297"/>
      <c r="BC28" s="297"/>
      <c r="BD28" s="297"/>
      <c r="BE28" s="297"/>
      <c r="BF28" s="297"/>
      <c r="BG28" s="297"/>
      <c r="BH28" s="297"/>
      <c r="BI28" s="297"/>
      <c r="BJ28" s="297"/>
      <c r="BK28" s="297"/>
      <c r="BL28" s="297"/>
    </row>
    <row r="29" spans="1:64">
      <c r="A29" s="342">
        <f>'1'!A29</f>
        <v>23</v>
      </c>
      <c r="B29" s="343"/>
      <c r="C29" s="344"/>
      <c r="D29" s="314">
        <f>'1'!D29</f>
        <v>398</v>
      </c>
      <c r="E29" s="315"/>
      <c r="F29" s="315"/>
      <c r="G29" s="315"/>
      <c r="H29" s="315"/>
      <c r="I29" s="316"/>
      <c r="J29" s="381" t="s">
        <v>57</v>
      </c>
      <c r="K29" s="382"/>
      <c r="L29" s="381" t="s">
        <v>58</v>
      </c>
      <c r="M29" s="324"/>
      <c r="N29" s="325"/>
      <c r="O29" s="325"/>
      <c r="P29" s="325"/>
      <c r="Q29" s="326"/>
      <c r="R29" s="382"/>
      <c r="S29" s="314">
        <f>'1'!S29</f>
        <v>398</v>
      </c>
      <c r="T29" s="315"/>
      <c r="U29" s="315"/>
      <c r="V29" s="315"/>
      <c r="W29" s="315"/>
      <c r="X29" s="315"/>
      <c r="Y29" s="316"/>
      <c r="Z29" s="382"/>
      <c r="AA29" s="320">
        <f>'1'!AA29</f>
        <v>16800</v>
      </c>
      <c r="AB29" s="320"/>
      <c r="AC29" s="320"/>
      <c r="AD29" s="320"/>
      <c r="AE29" s="320"/>
      <c r="AF29" s="320"/>
      <c r="AG29" s="319"/>
      <c r="AH29" s="382"/>
      <c r="AI29" s="342">
        <f>'1'!AI29</f>
        <v>6686400</v>
      </c>
      <c r="AJ29" s="343"/>
      <c r="AK29" s="343"/>
      <c r="AL29" s="343"/>
      <c r="AM29" s="343"/>
      <c r="AN29" s="343"/>
      <c r="AO29" s="343"/>
      <c r="AP29" s="343"/>
      <c r="AQ29" s="344"/>
      <c r="AR29" s="382"/>
      <c r="AS29" s="1380">
        <f>'7'!AS29</f>
        <v>0</v>
      </c>
      <c r="AT29" s="1381"/>
      <c r="AU29" s="1381"/>
      <c r="AV29" s="1381"/>
      <c r="AW29" s="1381"/>
      <c r="AX29" s="1381"/>
      <c r="AY29" s="1381"/>
      <c r="AZ29" s="1381"/>
      <c r="BA29" s="1381"/>
      <c r="BB29" s="1381"/>
      <c r="BC29" s="1381"/>
      <c r="BD29" s="1381"/>
      <c r="BE29" s="1381"/>
      <c r="BF29" s="1381"/>
      <c r="BG29" s="1381"/>
      <c r="BH29" s="1381"/>
      <c r="BI29" s="1381"/>
      <c r="BJ29" s="1381"/>
      <c r="BK29" s="1381"/>
      <c r="BL29" s="1382"/>
    </row>
    <row r="30" spans="1:64">
      <c r="A30" s="345"/>
      <c r="B30" s="348"/>
      <c r="C30" s="347"/>
      <c r="D30" s="317"/>
      <c r="E30" s="320"/>
      <c r="F30" s="320"/>
      <c r="G30" s="320"/>
      <c r="H30" s="320"/>
      <c r="I30" s="319"/>
      <c r="J30" s="381"/>
      <c r="K30" s="382"/>
      <c r="L30" s="381"/>
      <c r="M30" s="324"/>
      <c r="N30" s="325"/>
      <c r="O30" s="325"/>
      <c r="P30" s="325"/>
      <c r="Q30" s="326"/>
      <c r="R30" s="382"/>
      <c r="S30" s="317"/>
      <c r="T30" s="320"/>
      <c r="U30" s="320"/>
      <c r="V30" s="320"/>
      <c r="W30" s="320"/>
      <c r="X30" s="320"/>
      <c r="Y30" s="319"/>
      <c r="Z30" s="382"/>
      <c r="AA30" s="320"/>
      <c r="AB30" s="320"/>
      <c r="AC30" s="320"/>
      <c r="AD30" s="320"/>
      <c r="AE30" s="320"/>
      <c r="AF30" s="320"/>
      <c r="AG30" s="319"/>
      <c r="AH30" s="382"/>
      <c r="AI30" s="345"/>
      <c r="AJ30" s="348"/>
      <c r="AK30" s="348"/>
      <c r="AL30" s="348"/>
      <c r="AM30" s="348"/>
      <c r="AN30" s="348"/>
      <c r="AO30" s="348"/>
      <c r="AP30" s="348"/>
      <c r="AQ30" s="347"/>
      <c r="AR30" s="382"/>
      <c r="AS30" s="1383"/>
      <c r="AT30" s="882"/>
      <c r="AU30" s="882"/>
      <c r="AV30" s="882"/>
      <c r="AW30" s="882"/>
      <c r="AX30" s="882"/>
      <c r="AY30" s="882"/>
      <c r="AZ30" s="882"/>
      <c r="BA30" s="882"/>
      <c r="BB30" s="882"/>
      <c r="BC30" s="882"/>
      <c r="BD30" s="882"/>
      <c r="BE30" s="882"/>
      <c r="BF30" s="882"/>
      <c r="BG30" s="882"/>
      <c r="BH30" s="882"/>
      <c r="BI30" s="882"/>
      <c r="BJ30" s="882"/>
      <c r="BK30" s="882"/>
      <c r="BL30" s="1384"/>
    </row>
    <row r="31" spans="1:64">
      <c r="A31" s="345"/>
      <c r="B31" s="348"/>
      <c r="C31" s="347"/>
      <c r="D31" s="317"/>
      <c r="E31" s="320"/>
      <c r="F31" s="320"/>
      <c r="G31" s="320"/>
      <c r="H31" s="320"/>
      <c r="I31" s="319"/>
      <c r="J31" s="381"/>
      <c r="K31" s="382"/>
      <c r="L31" s="381"/>
      <c r="M31" s="324"/>
      <c r="N31" s="325"/>
      <c r="O31" s="325"/>
      <c r="P31" s="325"/>
      <c r="Q31" s="326"/>
      <c r="R31" s="382"/>
      <c r="S31" s="317"/>
      <c r="T31" s="320"/>
      <c r="U31" s="320"/>
      <c r="V31" s="320"/>
      <c r="W31" s="320"/>
      <c r="X31" s="320"/>
      <c r="Y31" s="319"/>
      <c r="Z31" s="382"/>
      <c r="AA31" s="320"/>
      <c r="AB31" s="320"/>
      <c r="AC31" s="320"/>
      <c r="AD31" s="320"/>
      <c r="AE31" s="320"/>
      <c r="AF31" s="320"/>
      <c r="AG31" s="319"/>
      <c r="AH31" s="382"/>
      <c r="AI31" s="345"/>
      <c r="AJ31" s="348"/>
      <c r="AK31" s="348"/>
      <c r="AL31" s="348"/>
      <c r="AM31" s="348"/>
      <c r="AN31" s="348"/>
      <c r="AO31" s="348"/>
      <c r="AP31" s="348"/>
      <c r="AQ31" s="347"/>
      <c r="AR31" s="382"/>
      <c r="AS31" s="1383"/>
      <c r="AT31" s="882"/>
      <c r="AU31" s="882"/>
      <c r="AV31" s="882"/>
      <c r="AW31" s="882"/>
      <c r="AX31" s="882"/>
      <c r="AY31" s="882"/>
      <c r="AZ31" s="882"/>
      <c r="BA31" s="882"/>
      <c r="BB31" s="882"/>
      <c r="BC31" s="882"/>
      <c r="BD31" s="882"/>
      <c r="BE31" s="882"/>
      <c r="BF31" s="882"/>
      <c r="BG31" s="882"/>
      <c r="BH31" s="882"/>
      <c r="BI31" s="882"/>
      <c r="BJ31" s="882"/>
      <c r="BK31" s="882"/>
      <c r="BL31" s="1384"/>
    </row>
    <row r="32" spans="1:64">
      <c r="A32" s="345"/>
      <c r="B32" s="348"/>
      <c r="C32" s="347"/>
      <c r="D32" s="317"/>
      <c r="E32" s="320"/>
      <c r="F32" s="320"/>
      <c r="G32" s="320"/>
      <c r="H32" s="320"/>
      <c r="I32" s="319"/>
      <c r="J32" s="381"/>
      <c r="K32" s="382"/>
      <c r="L32" s="381"/>
      <c r="M32" s="324"/>
      <c r="N32" s="325"/>
      <c r="O32" s="325"/>
      <c r="P32" s="325"/>
      <c r="Q32" s="326"/>
      <c r="R32" s="382"/>
      <c r="S32" s="317"/>
      <c r="T32" s="320"/>
      <c r="U32" s="320"/>
      <c r="V32" s="320"/>
      <c r="W32" s="320"/>
      <c r="X32" s="320"/>
      <c r="Y32" s="319"/>
      <c r="Z32" s="382"/>
      <c r="AA32" s="320"/>
      <c r="AB32" s="320"/>
      <c r="AC32" s="320"/>
      <c r="AD32" s="320"/>
      <c r="AE32" s="320"/>
      <c r="AF32" s="320"/>
      <c r="AG32" s="319"/>
      <c r="AH32" s="382"/>
      <c r="AI32" s="345"/>
      <c r="AJ32" s="348"/>
      <c r="AK32" s="348"/>
      <c r="AL32" s="348"/>
      <c r="AM32" s="348"/>
      <c r="AN32" s="348"/>
      <c r="AO32" s="348"/>
      <c r="AP32" s="348"/>
      <c r="AQ32" s="347"/>
      <c r="AR32" s="382"/>
      <c r="AS32" s="1383"/>
      <c r="AT32" s="882"/>
      <c r="AU32" s="882"/>
      <c r="AV32" s="882"/>
      <c r="AW32" s="882"/>
      <c r="AX32" s="882"/>
      <c r="AY32" s="882"/>
      <c r="AZ32" s="882"/>
      <c r="BA32" s="882"/>
      <c r="BB32" s="882"/>
      <c r="BC32" s="882"/>
      <c r="BD32" s="882"/>
      <c r="BE32" s="882"/>
      <c r="BF32" s="882"/>
      <c r="BG32" s="882"/>
      <c r="BH32" s="882"/>
      <c r="BI32" s="882"/>
      <c r="BJ32" s="882"/>
      <c r="BK32" s="882"/>
      <c r="BL32" s="1384"/>
    </row>
    <row r="33" spans="1:64">
      <c r="A33" s="345"/>
      <c r="B33" s="348"/>
      <c r="C33" s="347"/>
      <c r="D33" s="317"/>
      <c r="E33" s="320"/>
      <c r="F33" s="320"/>
      <c r="G33" s="320"/>
      <c r="H33" s="320"/>
      <c r="I33" s="319"/>
      <c r="J33" s="381"/>
      <c r="K33" s="382"/>
      <c r="L33" s="381"/>
      <c r="M33" s="324"/>
      <c r="N33" s="325"/>
      <c r="O33" s="325"/>
      <c r="P33" s="325"/>
      <c r="Q33" s="326"/>
      <c r="R33" s="382"/>
      <c r="S33" s="317"/>
      <c r="T33" s="320"/>
      <c r="U33" s="320"/>
      <c r="V33" s="320"/>
      <c r="W33" s="320"/>
      <c r="X33" s="320"/>
      <c r="Y33" s="319"/>
      <c r="Z33" s="382"/>
      <c r="AA33" s="320"/>
      <c r="AB33" s="320"/>
      <c r="AC33" s="320"/>
      <c r="AD33" s="320"/>
      <c r="AE33" s="320"/>
      <c r="AF33" s="320"/>
      <c r="AG33" s="319"/>
      <c r="AH33" s="382"/>
      <c r="AI33" s="345"/>
      <c r="AJ33" s="348"/>
      <c r="AK33" s="348"/>
      <c r="AL33" s="348"/>
      <c r="AM33" s="348"/>
      <c r="AN33" s="348"/>
      <c r="AO33" s="348"/>
      <c r="AP33" s="348"/>
      <c r="AQ33" s="347"/>
      <c r="AR33" s="382"/>
      <c r="AS33" s="1383"/>
      <c r="AT33" s="882"/>
      <c r="AU33" s="882"/>
      <c r="AV33" s="882"/>
      <c r="AW33" s="882"/>
      <c r="AX33" s="882"/>
      <c r="AY33" s="882"/>
      <c r="AZ33" s="882"/>
      <c r="BA33" s="882"/>
      <c r="BB33" s="882"/>
      <c r="BC33" s="882"/>
      <c r="BD33" s="882"/>
      <c r="BE33" s="882"/>
      <c r="BF33" s="882"/>
      <c r="BG33" s="882"/>
      <c r="BH33" s="882"/>
      <c r="BI33" s="882"/>
      <c r="BJ33" s="882"/>
      <c r="BK33" s="882"/>
      <c r="BL33" s="1384"/>
    </row>
    <row r="34" spans="1:64">
      <c r="A34" s="1377"/>
      <c r="B34" s="1378"/>
      <c r="C34" s="1379"/>
      <c r="D34" s="321"/>
      <c r="E34" s="322"/>
      <c r="F34" s="322"/>
      <c r="G34" s="322"/>
      <c r="H34" s="322"/>
      <c r="I34" s="323"/>
      <c r="J34" s="381"/>
      <c r="K34" s="382"/>
      <c r="L34" s="381"/>
      <c r="M34" s="324"/>
      <c r="N34" s="325"/>
      <c r="O34" s="325"/>
      <c r="P34" s="325"/>
      <c r="Q34" s="326"/>
      <c r="R34" s="382"/>
      <c r="S34" s="317"/>
      <c r="T34" s="320"/>
      <c r="U34" s="320"/>
      <c r="V34" s="320"/>
      <c r="W34" s="320"/>
      <c r="X34" s="320"/>
      <c r="Y34" s="319"/>
      <c r="Z34" s="382"/>
      <c r="AA34" s="320"/>
      <c r="AB34" s="320"/>
      <c r="AC34" s="320"/>
      <c r="AD34" s="320"/>
      <c r="AE34" s="320"/>
      <c r="AF34" s="320"/>
      <c r="AG34" s="319"/>
      <c r="AH34" s="382"/>
      <c r="AI34" s="345"/>
      <c r="AJ34" s="348"/>
      <c r="AK34" s="348"/>
      <c r="AL34" s="348"/>
      <c r="AM34" s="348"/>
      <c r="AN34" s="348"/>
      <c r="AO34" s="348"/>
      <c r="AP34" s="348"/>
      <c r="AQ34" s="347"/>
      <c r="AR34" s="382"/>
      <c r="AS34" s="1383"/>
      <c r="AT34" s="882"/>
      <c r="AU34" s="882"/>
      <c r="AV34" s="882"/>
      <c r="AW34" s="882"/>
      <c r="AX34" s="882"/>
      <c r="AY34" s="882"/>
      <c r="AZ34" s="882"/>
      <c r="BA34" s="882"/>
      <c r="BB34" s="882"/>
      <c r="BC34" s="882"/>
      <c r="BD34" s="882"/>
      <c r="BE34" s="882"/>
      <c r="BF34" s="882"/>
      <c r="BG34" s="882"/>
      <c r="BH34" s="882"/>
      <c r="BI34" s="882"/>
      <c r="BJ34" s="882"/>
      <c r="BK34" s="882"/>
      <c r="BL34" s="1384"/>
    </row>
    <row r="35" spans="1:64">
      <c r="A35" s="301"/>
      <c r="B35" s="302"/>
      <c r="C35" s="303"/>
      <c r="D35" s="301"/>
      <c r="E35" s="302"/>
      <c r="F35" s="302"/>
      <c r="G35" s="302"/>
      <c r="H35" s="302"/>
      <c r="I35" s="303"/>
      <c r="J35" s="381"/>
      <c r="K35" s="382"/>
      <c r="L35" s="381"/>
      <c r="M35" s="324"/>
      <c r="N35" s="325"/>
      <c r="O35" s="325"/>
      <c r="P35" s="325"/>
      <c r="Q35" s="326"/>
      <c r="R35" s="382"/>
      <c r="S35" s="317"/>
      <c r="T35" s="320"/>
      <c r="U35" s="320"/>
      <c r="V35" s="320"/>
      <c r="W35" s="320"/>
      <c r="X35" s="320"/>
      <c r="Y35" s="319"/>
      <c r="Z35" s="382"/>
      <c r="AA35" s="320"/>
      <c r="AB35" s="320"/>
      <c r="AC35" s="320"/>
      <c r="AD35" s="320"/>
      <c r="AE35" s="320"/>
      <c r="AF35" s="320"/>
      <c r="AG35" s="319"/>
      <c r="AH35" s="382"/>
      <c r="AI35" s="301"/>
      <c r="AJ35" s="302"/>
      <c r="AK35" s="302"/>
      <c r="AL35" s="302"/>
      <c r="AM35" s="302"/>
      <c r="AN35" s="302"/>
      <c r="AO35" s="302"/>
      <c r="AP35" s="302"/>
      <c r="AQ35" s="303"/>
      <c r="AR35" s="382"/>
      <c r="AS35" s="1383"/>
      <c r="AT35" s="882"/>
      <c r="AU35" s="882"/>
      <c r="AV35" s="882"/>
      <c r="AW35" s="882"/>
      <c r="AX35" s="882"/>
      <c r="AY35" s="882"/>
      <c r="AZ35" s="882"/>
      <c r="BA35" s="882"/>
      <c r="BB35" s="882"/>
      <c r="BC35" s="882"/>
      <c r="BD35" s="882"/>
      <c r="BE35" s="882"/>
      <c r="BF35" s="882"/>
      <c r="BG35" s="882"/>
      <c r="BH35" s="882"/>
      <c r="BI35" s="882"/>
      <c r="BJ35" s="882"/>
      <c r="BK35" s="882"/>
      <c r="BL35" s="1384"/>
    </row>
    <row r="36" spans="1:64" ht="15.75">
      <c r="A36" s="355">
        <f>AI29</f>
        <v>6686400</v>
      </c>
      <c r="B36" s="356"/>
      <c r="C36" s="356"/>
      <c r="D36" s="356"/>
      <c r="E36" s="356"/>
      <c r="F36" s="356"/>
      <c r="G36" s="356"/>
      <c r="H36" s="356"/>
      <c r="I36" s="356"/>
      <c r="J36" s="356"/>
      <c r="K36" s="356"/>
      <c r="L36" s="356"/>
      <c r="M36" s="357"/>
      <c r="N36" s="32"/>
      <c r="O36" s="32"/>
      <c r="P36" s="32"/>
      <c r="Q36" s="32"/>
      <c r="R36" s="32"/>
      <c r="S36" s="349"/>
      <c r="T36" s="349"/>
      <c r="U36" s="349"/>
      <c r="V36" s="349"/>
      <c r="W36" s="349"/>
      <c r="X36" s="349"/>
      <c r="Y36" s="349"/>
      <c r="Z36" s="32"/>
      <c r="AA36" s="33"/>
      <c r="AB36" s="1" t="s">
        <v>59</v>
      </c>
      <c r="AC36" s="2"/>
      <c r="AD36" s="2"/>
      <c r="AE36" s="2"/>
      <c r="AF36" s="2"/>
      <c r="AG36" s="2"/>
      <c r="AH36" s="2"/>
      <c r="AI36" s="361"/>
      <c r="AJ36" s="361"/>
      <c r="AK36" s="361"/>
      <c r="AL36" s="361"/>
      <c r="AM36" s="361"/>
      <c r="AN36" s="361"/>
      <c r="AO36" s="361"/>
      <c r="AP36" s="361"/>
      <c r="AQ36" s="361"/>
      <c r="AR36" s="2"/>
      <c r="AS36" s="2"/>
      <c r="AT36" s="2"/>
      <c r="AU36" s="2"/>
      <c r="AV36" s="2"/>
      <c r="AW36" s="2"/>
      <c r="AX36" s="2"/>
      <c r="AY36" s="2"/>
      <c r="AZ36" s="2"/>
      <c r="BA36" s="2"/>
      <c r="BB36" s="2"/>
      <c r="BC36" s="2"/>
      <c r="BD36" s="2"/>
      <c r="BE36" s="2"/>
      <c r="BF36" s="2"/>
      <c r="BG36" s="2"/>
      <c r="BH36" s="2"/>
      <c r="BI36" s="2"/>
      <c r="BJ36" s="2"/>
      <c r="BK36" s="2"/>
      <c r="BL36" s="3"/>
    </row>
    <row r="37" spans="1:64" ht="7.5" customHeight="1">
      <c r="A37" s="358"/>
      <c r="B37" s="359"/>
      <c r="C37" s="359"/>
      <c r="D37" s="359"/>
      <c r="E37" s="359"/>
      <c r="F37" s="359"/>
      <c r="G37" s="359"/>
      <c r="H37" s="359"/>
      <c r="I37" s="359"/>
      <c r="J37" s="359"/>
      <c r="K37" s="359"/>
      <c r="L37" s="359"/>
      <c r="M37" s="360"/>
      <c r="N37" s="34"/>
      <c r="O37" s="34"/>
      <c r="P37" s="34"/>
      <c r="Q37" s="34"/>
      <c r="R37" s="34"/>
      <c r="S37" s="34"/>
      <c r="T37" s="34"/>
      <c r="U37" s="34"/>
      <c r="V37" s="34"/>
      <c r="W37" s="34"/>
      <c r="X37" s="34"/>
      <c r="Y37" s="34"/>
      <c r="Z37" s="34"/>
      <c r="AA37" s="35"/>
      <c r="AB37" s="36"/>
      <c r="AC37" s="8"/>
      <c r="AD37" s="8"/>
      <c r="AE37" s="8"/>
      <c r="AF37" s="8"/>
      <c r="AG37" s="8"/>
      <c r="AH37" s="8"/>
      <c r="AI37" s="284"/>
      <c r="AJ37" s="284"/>
      <c r="AK37" s="284"/>
      <c r="AL37" s="284"/>
      <c r="AM37" s="284"/>
      <c r="AN37" s="284"/>
      <c r="AO37" s="284"/>
      <c r="AP37" s="284"/>
      <c r="AQ37" s="284"/>
      <c r="AR37" s="8"/>
      <c r="AS37" s="8"/>
      <c r="AT37" s="8"/>
      <c r="AU37" s="8"/>
      <c r="AV37" s="8"/>
      <c r="AW37" s="8"/>
      <c r="AX37" s="8"/>
      <c r="AY37" s="8"/>
      <c r="AZ37" s="8"/>
      <c r="BA37" s="8"/>
      <c r="BB37" s="8"/>
      <c r="BC37" s="8"/>
      <c r="BD37" s="8"/>
      <c r="BE37" s="8"/>
      <c r="BF37" s="8"/>
      <c r="BG37" s="8"/>
      <c r="BH37" s="8"/>
      <c r="BI37" s="8"/>
      <c r="BJ37" s="8"/>
      <c r="BK37" s="8"/>
      <c r="BL37" s="9"/>
    </row>
    <row r="38" spans="1:64" ht="15.75">
      <c r="A38" s="37"/>
      <c r="B38" s="32"/>
      <c r="C38" s="32"/>
      <c r="D38" s="32"/>
      <c r="E38" s="32"/>
      <c r="F38" s="32"/>
      <c r="G38" s="32"/>
      <c r="H38" s="32"/>
      <c r="I38" s="32"/>
      <c r="J38" s="32"/>
      <c r="K38" s="32"/>
      <c r="L38" s="32"/>
      <c r="M38" s="33"/>
      <c r="N38" s="38"/>
      <c r="O38" s="38"/>
      <c r="P38" s="38"/>
      <c r="Q38" s="38"/>
      <c r="R38" s="38"/>
      <c r="S38" s="38"/>
      <c r="T38" s="38"/>
      <c r="U38" s="38"/>
      <c r="V38" s="38"/>
      <c r="W38" s="38"/>
      <c r="X38" s="38"/>
      <c r="Y38" s="38"/>
      <c r="Z38" s="38"/>
      <c r="AA38" s="39"/>
      <c r="AB38" s="362"/>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row>
    <row r="39" spans="1:64" ht="7.5" customHeight="1">
      <c r="A39" s="40"/>
      <c r="B39" s="34"/>
      <c r="C39" s="34"/>
      <c r="D39" s="34"/>
      <c r="E39" s="34"/>
      <c r="F39" s="34"/>
      <c r="G39" s="34"/>
      <c r="H39" s="34"/>
      <c r="I39" s="34"/>
      <c r="J39" s="34"/>
      <c r="K39" s="34"/>
      <c r="L39" s="34"/>
      <c r="M39" s="35"/>
      <c r="N39" s="34"/>
      <c r="O39" s="34"/>
      <c r="P39" s="34"/>
      <c r="Q39" s="34"/>
      <c r="R39" s="34"/>
      <c r="S39" s="34"/>
      <c r="T39" s="34"/>
      <c r="U39" s="34"/>
      <c r="V39" s="34"/>
      <c r="W39" s="34"/>
      <c r="X39" s="34"/>
      <c r="Y39" s="34"/>
      <c r="Z39" s="34"/>
      <c r="AA39" s="35"/>
      <c r="AB39" s="362"/>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row>
    <row r="40" spans="1:64" ht="15.75">
      <c r="A40" s="37"/>
      <c r="B40" s="32"/>
      <c r="C40" s="32"/>
      <c r="D40" s="32"/>
      <c r="E40" s="41"/>
      <c r="F40" s="41"/>
      <c r="G40" s="41"/>
      <c r="H40" s="41"/>
      <c r="I40" s="41"/>
      <c r="J40" s="41"/>
      <c r="K40" s="41"/>
      <c r="L40" s="41"/>
      <c r="M40" s="42"/>
      <c r="N40" s="43"/>
      <c r="O40" s="43"/>
      <c r="P40" s="43"/>
      <c r="Q40" s="43"/>
      <c r="R40" s="43"/>
      <c r="S40" s="43"/>
      <c r="T40" s="43"/>
      <c r="U40" s="43"/>
      <c r="V40" s="43"/>
      <c r="W40" s="43"/>
      <c r="X40" s="38"/>
      <c r="Y40" s="38"/>
      <c r="Z40" s="38"/>
      <c r="AA40" s="39"/>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row>
    <row r="41" spans="1:64" ht="7.5" customHeight="1">
      <c r="A41" s="40"/>
      <c r="B41" s="34"/>
      <c r="C41" s="34"/>
      <c r="D41" s="34"/>
      <c r="E41" s="34"/>
      <c r="F41" s="34"/>
      <c r="G41" s="34"/>
      <c r="H41" s="34"/>
      <c r="I41" s="34"/>
      <c r="J41" s="34"/>
      <c r="K41" s="34"/>
      <c r="L41" s="34"/>
      <c r="M41" s="35"/>
      <c r="N41" s="34"/>
      <c r="O41" s="34"/>
      <c r="P41" s="34"/>
      <c r="Q41" s="34"/>
      <c r="R41" s="34"/>
      <c r="S41" s="34"/>
      <c r="T41" s="34"/>
      <c r="U41" s="34"/>
      <c r="V41" s="34"/>
      <c r="W41" s="34"/>
      <c r="X41" s="34"/>
      <c r="Y41" s="34"/>
      <c r="Z41" s="34"/>
      <c r="AA41" s="35"/>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row>
    <row r="42" spans="1:64" ht="15" customHeight="1">
      <c r="A42" s="37"/>
      <c r="B42" s="32"/>
      <c r="C42" s="32"/>
      <c r="D42" s="32"/>
      <c r="E42" s="32"/>
      <c r="F42" s="32"/>
      <c r="G42" s="32"/>
      <c r="H42" s="32"/>
      <c r="I42" s="32"/>
      <c r="J42" s="32"/>
      <c r="K42" s="32"/>
      <c r="L42" s="32"/>
      <c r="M42" s="33"/>
      <c r="N42" s="32"/>
      <c r="O42" s="32"/>
      <c r="P42" s="32"/>
      <c r="Q42" s="32"/>
      <c r="R42" s="32"/>
      <c r="S42" s="32"/>
      <c r="T42" s="32"/>
      <c r="U42" s="32"/>
      <c r="V42" s="32"/>
      <c r="W42" s="32"/>
      <c r="X42" s="32"/>
      <c r="Y42" s="32"/>
      <c r="Z42" s="32"/>
      <c r="AA42" s="33"/>
      <c r="AB42" s="364" t="s">
        <v>60</v>
      </c>
      <c r="AC42" s="365"/>
      <c r="AD42" s="365"/>
      <c r="AE42" s="365"/>
      <c r="AF42" s="365"/>
      <c r="AG42" s="365"/>
      <c r="AH42" s="365"/>
      <c r="AI42" s="365"/>
      <c r="AJ42" s="365"/>
      <c r="AK42" s="365"/>
      <c r="AL42" s="365"/>
      <c r="AM42" s="365"/>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5"/>
      <c r="BK42" s="365"/>
      <c r="BL42" s="366"/>
    </row>
    <row r="43" spans="1:64" ht="7.5" customHeight="1">
      <c r="A43" s="40"/>
      <c r="B43" s="34"/>
      <c r="C43" s="34"/>
      <c r="D43" s="34"/>
      <c r="E43" s="34"/>
      <c r="F43" s="34"/>
      <c r="G43" s="34"/>
      <c r="H43" s="34"/>
      <c r="I43" s="34"/>
      <c r="J43" s="34"/>
      <c r="K43" s="34"/>
      <c r="L43" s="34"/>
      <c r="M43" s="35"/>
      <c r="N43" s="34"/>
      <c r="O43" s="34"/>
      <c r="P43" s="34"/>
      <c r="Q43" s="34"/>
      <c r="R43" s="34"/>
      <c r="S43" s="34"/>
      <c r="T43" s="34"/>
      <c r="U43" s="34"/>
      <c r="V43" s="34"/>
      <c r="W43" s="34"/>
      <c r="X43" s="34"/>
      <c r="Y43" s="34"/>
      <c r="Z43" s="34"/>
      <c r="AA43" s="35"/>
      <c r="AB43" s="367"/>
      <c r="AC43" s="368"/>
      <c r="AD43" s="368"/>
      <c r="AE43" s="368"/>
      <c r="AF43" s="368"/>
      <c r="AG43" s="368"/>
      <c r="AH43" s="368"/>
      <c r="AI43" s="368"/>
      <c r="AJ43" s="368"/>
      <c r="AK43" s="368"/>
      <c r="AL43" s="368"/>
      <c r="AM43" s="368"/>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8"/>
      <c r="BK43" s="368"/>
      <c r="BL43" s="369"/>
    </row>
    <row r="44" spans="1:64" ht="15.75">
      <c r="A44" s="389">
        <f>'1'!A46</f>
        <v>1052092</v>
      </c>
      <c r="B44" s="390"/>
      <c r="C44" s="390"/>
      <c r="D44" s="390"/>
      <c r="E44" s="390"/>
      <c r="F44" s="390"/>
      <c r="G44" s="390"/>
      <c r="H44" s="390"/>
      <c r="I44" s="390"/>
      <c r="J44" s="390"/>
      <c r="K44" s="390"/>
      <c r="L44" s="390"/>
      <c r="M44" s="391"/>
      <c r="N44" s="32"/>
      <c r="O44" s="32"/>
      <c r="P44" s="32"/>
      <c r="Q44" s="32"/>
      <c r="R44" s="32"/>
      <c r="S44" s="32"/>
      <c r="T44" s="32"/>
      <c r="U44" s="32"/>
      <c r="V44" s="32"/>
      <c r="W44" s="32"/>
      <c r="X44" s="32"/>
      <c r="Y44" s="32"/>
      <c r="Z44" s="32"/>
      <c r="AA44" s="33"/>
      <c r="AB44" s="395" t="str">
        <f>A3</f>
        <v>PT. NUR INFINIT INDOALEA GLOBAL</v>
      </c>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396"/>
      <c r="BF44" s="396"/>
      <c r="BG44" s="396"/>
      <c r="BH44" s="396"/>
      <c r="BI44" s="396"/>
      <c r="BJ44" s="396"/>
      <c r="BK44" s="396"/>
      <c r="BL44" s="397"/>
    </row>
    <row r="45" spans="1:64" ht="7.5" customHeight="1">
      <c r="A45" s="392"/>
      <c r="B45" s="393"/>
      <c r="C45" s="393"/>
      <c r="D45" s="393"/>
      <c r="E45" s="393"/>
      <c r="F45" s="393"/>
      <c r="G45" s="393"/>
      <c r="H45" s="393"/>
      <c r="I45" s="393"/>
      <c r="J45" s="393"/>
      <c r="K45" s="393"/>
      <c r="L45" s="393"/>
      <c r="M45" s="394"/>
      <c r="N45" s="34"/>
      <c r="O45" s="34"/>
      <c r="P45" s="34"/>
      <c r="Q45" s="34"/>
      <c r="R45" s="34"/>
      <c r="S45" s="34"/>
      <c r="T45" s="34"/>
      <c r="U45" s="34"/>
      <c r="V45" s="34"/>
      <c r="W45" s="34"/>
      <c r="X45" s="34"/>
      <c r="Y45" s="34"/>
      <c r="Z45" s="34"/>
      <c r="AA45" s="35"/>
      <c r="AB45" s="398"/>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399"/>
      <c r="BK45" s="399"/>
      <c r="BL45" s="400"/>
    </row>
    <row r="46" spans="1:64" ht="15.75">
      <c r="A46" s="44"/>
      <c r="B46" s="45"/>
      <c r="C46" s="45"/>
      <c r="D46" s="45"/>
      <c r="E46" s="46"/>
      <c r="F46" s="46"/>
      <c r="G46" s="46"/>
      <c r="H46" s="46"/>
      <c r="I46" s="46"/>
      <c r="J46" s="46"/>
      <c r="K46" s="46"/>
      <c r="L46" s="46"/>
      <c r="M46" s="47"/>
      <c r="N46" s="48"/>
      <c r="O46" s="46"/>
      <c r="P46" s="46"/>
      <c r="Q46" s="46"/>
      <c r="R46" s="46"/>
      <c r="S46" s="46"/>
      <c r="T46" s="46"/>
      <c r="U46" s="46"/>
      <c r="V46" s="46"/>
      <c r="W46" s="46"/>
      <c r="X46" s="45"/>
      <c r="Y46" s="45"/>
      <c r="Z46" s="45"/>
      <c r="AA46" s="45"/>
      <c r="AB46" s="350" t="s">
        <v>61</v>
      </c>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2"/>
    </row>
    <row r="47" spans="1:64" ht="7.5" customHeight="1">
      <c r="A47" s="49"/>
      <c r="B47" s="50"/>
      <c r="C47" s="50"/>
      <c r="D47" s="50"/>
      <c r="E47" s="50"/>
      <c r="F47" s="50"/>
      <c r="G47" s="50"/>
      <c r="H47" s="50"/>
      <c r="I47" s="50"/>
      <c r="J47" s="50"/>
      <c r="K47" s="50"/>
      <c r="L47" s="50"/>
      <c r="M47" s="51"/>
      <c r="N47" s="49"/>
      <c r="O47" s="50"/>
      <c r="P47" s="50"/>
      <c r="Q47" s="50"/>
      <c r="R47" s="50"/>
      <c r="S47" s="50"/>
      <c r="T47" s="50"/>
      <c r="U47" s="50"/>
      <c r="V47" s="50"/>
      <c r="W47" s="50"/>
      <c r="X47" s="50"/>
      <c r="Y47" s="50"/>
      <c r="Z47" s="50"/>
      <c r="AA47" s="50"/>
      <c r="AB47" s="37"/>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3"/>
    </row>
    <row r="48" spans="1:64" ht="15.75">
      <c r="A48" s="355">
        <f>A36+A44</f>
        <v>7738492</v>
      </c>
      <c r="B48" s="401"/>
      <c r="C48" s="401"/>
      <c r="D48" s="401"/>
      <c r="E48" s="401"/>
      <c r="F48" s="401"/>
      <c r="G48" s="401"/>
      <c r="H48" s="401"/>
      <c r="I48" s="401"/>
      <c r="J48" s="401"/>
      <c r="K48" s="401"/>
      <c r="L48" s="401"/>
      <c r="M48" s="402"/>
      <c r="N48" s="37"/>
      <c r="O48" s="349"/>
      <c r="P48" s="349"/>
      <c r="Q48" s="349"/>
      <c r="R48" s="349"/>
      <c r="S48" s="349"/>
      <c r="T48" s="349"/>
      <c r="U48" s="349"/>
      <c r="V48" s="349"/>
      <c r="W48" s="349"/>
      <c r="X48" s="349"/>
      <c r="Y48" s="349"/>
      <c r="Z48" s="349"/>
      <c r="AA48" s="32"/>
      <c r="AB48" s="52"/>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9"/>
    </row>
    <row r="49" spans="1:64" ht="7.5" customHeight="1">
      <c r="A49" s="403"/>
      <c r="B49" s="404"/>
      <c r="C49" s="404"/>
      <c r="D49" s="404"/>
      <c r="E49" s="404"/>
      <c r="F49" s="404"/>
      <c r="G49" s="404"/>
      <c r="H49" s="404"/>
      <c r="I49" s="404"/>
      <c r="J49" s="404"/>
      <c r="K49" s="404"/>
      <c r="L49" s="404"/>
      <c r="M49" s="405"/>
      <c r="N49" s="40"/>
      <c r="O49" s="34"/>
      <c r="P49" s="34"/>
      <c r="Q49" s="34"/>
      <c r="R49" s="34"/>
      <c r="S49" s="34"/>
      <c r="T49" s="34"/>
      <c r="U49" s="34"/>
      <c r="V49" s="34"/>
      <c r="W49" s="34"/>
      <c r="X49" s="34"/>
      <c r="Y49" s="34"/>
      <c r="Z49" s="34"/>
      <c r="AA49" s="34"/>
      <c r="AB49" s="52"/>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9"/>
    </row>
    <row r="50" spans="1:64" ht="15.75">
      <c r="A50" s="37"/>
      <c r="B50" s="349"/>
      <c r="C50" s="349"/>
      <c r="D50" s="349"/>
      <c r="E50" s="349"/>
      <c r="F50" s="349"/>
      <c r="G50" s="349"/>
      <c r="H50" s="349"/>
      <c r="I50" s="349"/>
      <c r="J50" s="349"/>
      <c r="K50" s="349"/>
      <c r="L50" s="349"/>
      <c r="M50" s="33"/>
      <c r="N50" s="37"/>
      <c r="O50" s="349"/>
      <c r="P50" s="349"/>
      <c r="Q50" s="349"/>
      <c r="R50" s="349"/>
      <c r="S50" s="349"/>
      <c r="T50" s="349"/>
      <c r="U50" s="349"/>
      <c r="V50" s="349"/>
      <c r="W50" s="349"/>
      <c r="X50" s="349"/>
      <c r="Y50" s="349"/>
      <c r="Z50" s="349"/>
      <c r="AA50" s="32"/>
      <c r="AB50" s="58"/>
      <c r="AC50" s="353">
        <f>'1'!AC52</f>
        <v>46171</v>
      </c>
      <c r="AD50" s="354"/>
      <c r="AE50" s="354"/>
      <c r="AF50" s="354"/>
      <c r="AG50" s="354"/>
      <c r="AH50" s="354"/>
      <c r="AI50" s="354"/>
      <c r="AJ50" s="354"/>
      <c r="AK50" s="354"/>
      <c r="AL50" s="55"/>
      <c r="AM50" s="55"/>
      <c r="AN50" s="55"/>
      <c r="AO50" s="354" t="str">
        <f>'1'!AO52</f>
        <v>CGK</v>
      </c>
      <c r="AP50" s="354"/>
      <c r="AQ50" s="354"/>
      <c r="AR50" s="354"/>
      <c r="AS50" s="55"/>
      <c r="AT50" s="55"/>
      <c r="AU50" s="55"/>
      <c r="AV50" s="55"/>
      <c r="AW50" s="55"/>
      <c r="AX50" s="55"/>
      <c r="AY50" s="55"/>
      <c r="AZ50" s="55"/>
      <c r="BA50" s="55"/>
      <c r="BB50" s="55"/>
      <c r="BC50" s="55"/>
      <c r="BD50" s="55"/>
      <c r="BE50" s="55"/>
      <c r="BF50" s="55"/>
      <c r="BG50" s="55"/>
      <c r="BH50" s="55"/>
      <c r="BI50" s="55"/>
      <c r="BJ50" s="55"/>
      <c r="BK50" s="55"/>
      <c r="BL50" s="56"/>
    </row>
    <row r="51" spans="1:64" ht="7.5" customHeight="1">
      <c r="A51" s="40"/>
      <c r="B51" s="34"/>
      <c r="C51" s="34"/>
      <c r="D51" s="34"/>
      <c r="E51" s="34"/>
      <c r="F51" s="34"/>
      <c r="G51" s="34"/>
      <c r="H51" s="34"/>
      <c r="I51" s="34"/>
      <c r="J51" s="34"/>
      <c r="K51" s="34"/>
      <c r="L51" s="34"/>
      <c r="M51" s="35"/>
      <c r="N51" s="40"/>
      <c r="O51" s="34"/>
      <c r="P51" s="34"/>
      <c r="Q51" s="34"/>
      <c r="R51" s="34"/>
      <c r="S51" s="34"/>
      <c r="T51" s="34"/>
      <c r="U51" s="34"/>
      <c r="V51" s="34"/>
      <c r="W51" s="34"/>
      <c r="X51" s="34"/>
      <c r="Y51" s="34"/>
      <c r="Z51" s="34"/>
      <c r="AA51" s="34"/>
      <c r="AB51" s="374" t="s">
        <v>62</v>
      </c>
      <c r="AC51" s="375"/>
      <c r="AD51" s="375"/>
      <c r="AE51" s="375"/>
      <c r="AF51" s="375"/>
      <c r="AG51" s="375"/>
      <c r="AH51" s="30"/>
      <c r="AI51" s="30"/>
      <c r="AJ51" s="375" t="s">
        <v>63</v>
      </c>
      <c r="AK51" s="375"/>
      <c r="AL51" s="375"/>
      <c r="AM51" s="30"/>
      <c r="AN51" s="30"/>
      <c r="AO51" s="30"/>
      <c r="AP51" s="375" t="s">
        <v>64</v>
      </c>
      <c r="AQ51" s="375"/>
      <c r="AR51" s="30"/>
      <c r="AS51" s="30"/>
      <c r="AT51" s="30"/>
      <c r="AU51" s="375" t="s">
        <v>65</v>
      </c>
      <c r="AV51" s="375"/>
      <c r="AW51" s="375"/>
      <c r="AX51" s="375"/>
      <c r="AY51" s="375"/>
      <c r="AZ51" s="30"/>
      <c r="BA51" s="375" t="s">
        <v>66</v>
      </c>
      <c r="BB51" s="375"/>
      <c r="BC51" s="375"/>
      <c r="BD51" s="375"/>
      <c r="BE51" s="375"/>
      <c r="BF51" s="375"/>
      <c r="BG51" s="375"/>
      <c r="BH51" s="375"/>
      <c r="BI51" s="375"/>
      <c r="BJ51" s="375"/>
      <c r="BK51" s="375"/>
      <c r="BL51" s="376"/>
    </row>
    <row r="52" spans="1:64" ht="15.75">
      <c r="A52" s="279" t="s">
        <v>67</v>
      </c>
      <c r="B52" s="277"/>
      <c r="C52" s="277"/>
      <c r="D52" s="277"/>
      <c r="E52" s="277"/>
      <c r="F52" s="277"/>
      <c r="G52" s="277"/>
      <c r="H52" s="277"/>
      <c r="I52" s="277"/>
      <c r="J52" s="277"/>
      <c r="K52" s="277"/>
      <c r="L52" s="277"/>
      <c r="M52" s="278"/>
      <c r="N52" s="37"/>
      <c r="O52" s="349"/>
      <c r="P52" s="349"/>
      <c r="Q52" s="349"/>
      <c r="R52" s="349"/>
      <c r="S52" s="349"/>
      <c r="T52" s="349"/>
      <c r="U52" s="349"/>
      <c r="V52" s="349"/>
      <c r="W52" s="349"/>
      <c r="X52" s="349"/>
      <c r="Y52" s="349"/>
      <c r="Z52" s="349"/>
      <c r="AA52" s="32"/>
      <c r="AB52" s="52"/>
      <c r="AC52" s="377"/>
      <c r="AD52" s="377"/>
      <c r="AE52" s="377"/>
      <c r="AF52" s="377"/>
      <c r="AG52" s="377"/>
      <c r="AH52" s="377"/>
      <c r="AI52" s="377"/>
      <c r="AJ52" s="377"/>
      <c r="AK52" s="377"/>
      <c r="AL52" s="377"/>
      <c r="AM52" s="377"/>
      <c r="AN52" s="39"/>
      <c r="AO52" s="385" t="str">
        <f>AT1</f>
        <v>126-91929552</v>
      </c>
      <c r="AP52" s="386"/>
      <c r="AQ52" s="386"/>
      <c r="AR52" s="386"/>
      <c r="AS52" s="386"/>
      <c r="AT52" s="386"/>
      <c r="AU52" s="386"/>
      <c r="AV52" s="386"/>
      <c r="AW52" s="386"/>
      <c r="AX52" s="386"/>
      <c r="AY52" s="386"/>
      <c r="AZ52" s="386"/>
      <c r="BA52" s="386"/>
      <c r="BB52" s="386"/>
      <c r="BC52" s="386"/>
      <c r="BD52" s="386"/>
      <c r="BE52" s="386"/>
      <c r="BF52" s="386"/>
      <c r="BG52" s="386"/>
      <c r="BH52" s="386"/>
      <c r="BI52" s="386"/>
      <c r="BJ52" s="386"/>
      <c r="BK52" s="386"/>
      <c r="BL52" s="386"/>
    </row>
    <row r="53" spans="1:64" ht="7.5" customHeight="1">
      <c r="A53" s="374"/>
      <c r="B53" s="375"/>
      <c r="C53" s="375"/>
      <c r="D53" s="375"/>
      <c r="E53" s="375"/>
      <c r="F53" s="375"/>
      <c r="G53" s="375"/>
      <c r="H53" s="375"/>
      <c r="I53" s="375"/>
      <c r="J53" s="375"/>
      <c r="K53" s="375"/>
      <c r="L53" s="375"/>
      <c r="M53" s="376"/>
      <c r="N53" s="40"/>
      <c r="O53" s="34"/>
      <c r="P53" s="34"/>
      <c r="Q53" s="34"/>
      <c r="R53" s="34"/>
      <c r="S53" s="34"/>
      <c r="T53" s="34"/>
      <c r="U53" s="34"/>
      <c r="V53" s="34"/>
      <c r="W53" s="34"/>
      <c r="X53" s="34"/>
      <c r="Y53" s="34"/>
      <c r="Z53" s="34"/>
      <c r="AA53" s="34"/>
      <c r="AB53" s="40"/>
      <c r="AC53" s="34"/>
      <c r="AD53" s="34"/>
      <c r="AE53" s="34"/>
      <c r="AF53" s="34"/>
      <c r="AG53" s="34"/>
      <c r="AH53" s="34"/>
      <c r="AI53" s="34"/>
      <c r="AJ53" s="34"/>
      <c r="AK53" s="34"/>
      <c r="AL53" s="34"/>
      <c r="AM53" s="34"/>
      <c r="AN53" s="35"/>
      <c r="AO53" s="387"/>
      <c r="AP53" s="388"/>
      <c r="AQ53" s="388"/>
      <c r="AR53" s="388"/>
      <c r="AS53" s="388"/>
      <c r="AT53" s="388"/>
      <c r="AU53" s="388"/>
      <c r="AV53" s="388"/>
      <c r="AW53" s="388"/>
      <c r="AX53" s="388"/>
      <c r="AY53" s="388"/>
      <c r="AZ53" s="388"/>
      <c r="BA53" s="388"/>
      <c r="BB53" s="388"/>
      <c r="BC53" s="388"/>
      <c r="BD53" s="388"/>
      <c r="BE53" s="388"/>
      <c r="BF53" s="388"/>
      <c r="BG53" s="388"/>
      <c r="BH53" s="388"/>
      <c r="BI53" s="388"/>
      <c r="BJ53" s="388"/>
      <c r="BK53" s="388"/>
      <c r="BL53" s="388"/>
    </row>
    <row r="54" spans="1:64" ht="15.75">
      <c r="A54" s="378" t="s">
        <v>79</v>
      </c>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8"/>
      <c r="BK54" s="378"/>
      <c r="BL54" s="378"/>
    </row>
  </sheetData>
  <mergeCells count="98">
    <mergeCell ref="AH13:BL19"/>
    <mergeCell ref="A14:AG15"/>
    <mergeCell ref="A16:P17"/>
    <mergeCell ref="Q16:AG17"/>
    <mergeCell ref="A4:AG6"/>
    <mergeCell ref="AH7:BL12"/>
    <mergeCell ref="A9:AG12"/>
    <mergeCell ref="AN2:BL5"/>
    <mergeCell ref="A7:S7"/>
    <mergeCell ref="T7:AG7"/>
    <mergeCell ref="A13:AG13"/>
    <mergeCell ref="A18:AG18"/>
    <mergeCell ref="A19:AG19"/>
    <mergeCell ref="A20:C21"/>
    <mergeCell ref="V20:X21"/>
    <mergeCell ref="Y20:AA21"/>
    <mergeCell ref="AB20:AD21"/>
    <mergeCell ref="AE20:AG21"/>
    <mergeCell ref="O52:Z52"/>
    <mergeCell ref="AC52:AM52"/>
    <mergeCell ref="A54:BL54"/>
    <mergeCell ref="J27:J28"/>
    <mergeCell ref="J29:J35"/>
    <mergeCell ref="K27:K35"/>
    <mergeCell ref="L29:L35"/>
    <mergeCell ref="R27:R35"/>
    <mergeCell ref="Z27:Z35"/>
    <mergeCell ref="AH27:AH35"/>
    <mergeCell ref="AR27:AR35"/>
    <mergeCell ref="A52:M53"/>
    <mergeCell ref="AO52:BL53"/>
    <mergeCell ref="A44:M45"/>
    <mergeCell ref="AB44:BL45"/>
    <mergeCell ref="A48:M49"/>
    <mergeCell ref="AB51:AG51"/>
    <mergeCell ref="AJ51:AL51"/>
    <mergeCell ref="AP51:AQ51"/>
    <mergeCell ref="AU51:AY51"/>
    <mergeCell ref="BA51:BL51"/>
    <mergeCell ref="AI27:AQ28"/>
    <mergeCell ref="AB46:BL46"/>
    <mergeCell ref="O48:Z48"/>
    <mergeCell ref="B50:L50"/>
    <mergeCell ref="O50:Z50"/>
    <mergeCell ref="AC50:AK50"/>
    <mergeCell ref="AO50:AR50"/>
    <mergeCell ref="AB38:BL39"/>
    <mergeCell ref="AB40:BL41"/>
    <mergeCell ref="AB42:BL43"/>
    <mergeCell ref="A29:C34"/>
    <mergeCell ref="D29:I34"/>
    <mergeCell ref="M29:Q35"/>
    <mergeCell ref="AA29:AG35"/>
    <mergeCell ref="AI29:AQ34"/>
    <mergeCell ref="AS29:BL35"/>
    <mergeCell ref="A35:C35"/>
    <mergeCell ref="D35:I35"/>
    <mergeCell ref="AI35:AQ35"/>
    <mergeCell ref="S36:Y36"/>
    <mergeCell ref="A36:M37"/>
    <mergeCell ref="AI36:AQ37"/>
    <mergeCell ref="S29:Y35"/>
    <mergeCell ref="A23:Q23"/>
    <mergeCell ref="Z23:AG23"/>
    <mergeCell ref="AH23:AQ23"/>
    <mergeCell ref="A24:BL24"/>
    <mergeCell ref="L27:Q27"/>
    <mergeCell ref="AR22:BL23"/>
    <mergeCell ref="AS27:BL28"/>
    <mergeCell ref="A22:Q22"/>
    <mergeCell ref="R22:U22"/>
    <mergeCell ref="V22:AC22"/>
    <mergeCell ref="AD22:AG22"/>
    <mergeCell ref="AH22:AQ22"/>
    <mergeCell ref="M28:Q28"/>
    <mergeCell ref="A27:C28"/>
    <mergeCell ref="D27:I28"/>
    <mergeCell ref="S27:Y28"/>
    <mergeCell ref="BE20:BL20"/>
    <mergeCell ref="D21:U21"/>
    <mergeCell ref="AH21:AK21"/>
    <mergeCell ref="AN21:AO21"/>
    <mergeCell ref="AP21:AQ21"/>
    <mergeCell ref="AR21:AS21"/>
    <mergeCell ref="AT21:AU21"/>
    <mergeCell ref="AV21:BD21"/>
    <mergeCell ref="BE21:BL21"/>
    <mergeCell ref="AL20:AM21"/>
    <mergeCell ref="D20:U20"/>
    <mergeCell ref="AH20:AK20"/>
    <mergeCell ref="AN20:AQ20"/>
    <mergeCell ref="AR20:AU20"/>
    <mergeCell ref="AV20:BD20"/>
    <mergeCell ref="A1:C1"/>
    <mergeCell ref="D1:F1"/>
    <mergeCell ref="G1:S1"/>
    <mergeCell ref="AT1:BJ1"/>
    <mergeCell ref="AH6:BL6"/>
  </mergeCells>
  <pageMargins left="0.23958333333333301" right="0.23958333333333301" top="0" bottom="0.75" header="0" footer="0.30972222222222201"/>
  <pageSetup paperSize="9" scale="99" orientation="portrait" verticalDpi="20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L54"/>
  <sheetViews>
    <sheetView showGridLines="0" view="pageLayout" topLeftCell="A17" zoomScale="106" zoomScaleNormal="100" zoomScalePageLayoutView="106" workbookViewId="0">
      <selection activeCell="S29" sqref="S29:Y35"/>
    </sheetView>
  </sheetViews>
  <sheetFormatPr defaultColWidth="9" defaultRowHeight="15"/>
  <cols>
    <col min="1" max="65" width="1.5703125" customWidth="1"/>
  </cols>
  <sheetData>
    <row r="1" spans="1:64" ht="22.5" customHeight="1">
      <c r="A1" s="264">
        <f>'1'!A1</f>
        <v>126</v>
      </c>
      <c r="B1" s="264"/>
      <c r="C1" s="265"/>
      <c r="D1" s="1133" t="s">
        <v>0</v>
      </c>
      <c r="E1" s="458"/>
      <c r="F1" s="1134"/>
      <c r="G1" s="269">
        <f>'1'!G1</f>
        <v>91929552</v>
      </c>
      <c r="H1" s="270"/>
      <c r="I1" s="270"/>
      <c r="J1" s="270"/>
      <c r="K1" s="270"/>
      <c r="L1" s="270"/>
      <c r="M1" s="270"/>
      <c r="N1" s="270"/>
      <c r="O1" s="270"/>
      <c r="P1" s="270"/>
      <c r="Q1" s="270"/>
      <c r="R1" s="270"/>
      <c r="S1" s="270"/>
      <c r="AT1" s="267" t="str">
        <f>'1'!AT1</f>
        <v>126-91929552</v>
      </c>
      <c r="AU1" s="267"/>
      <c r="AV1" s="267"/>
      <c r="AW1" s="267"/>
      <c r="AX1" s="267"/>
      <c r="AY1" s="267"/>
      <c r="AZ1" s="267"/>
      <c r="BA1" s="267"/>
      <c r="BB1" s="267"/>
      <c r="BC1" s="267"/>
      <c r="BD1" s="267"/>
      <c r="BE1" s="267"/>
      <c r="BF1" s="267"/>
      <c r="BG1" s="267"/>
      <c r="BH1" s="267"/>
      <c r="BI1" s="267"/>
      <c r="BJ1" s="267"/>
    </row>
    <row r="2" spans="1:64">
      <c r="A2" s="1" t="s">
        <v>1</v>
      </c>
      <c r="B2" s="2"/>
      <c r="C2" s="2"/>
      <c r="D2" s="2"/>
      <c r="E2" s="2"/>
      <c r="F2" s="2"/>
      <c r="G2" s="2"/>
      <c r="H2" s="2"/>
      <c r="I2" s="2"/>
      <c r="J2" s="2"/>
      <c r="K2" s="2"/>
      <c r="L2" s="2"/>
      <c r="M2" s="2"/>
      <c r="N2" s="2"/>
      <c r="O2" s="2"/>
      <c r="P2" s="2"/>
      <c r="Q2" s="2"/>
      <c r="R2" s="2"/>
      <c r="S2" s="2"/>
      <c r="T2" s="1" t="s">
        <v>2</v>
      </c>
      <c r="U2" s="2"/>
      <c r="V2" s="2"/>
      <c r="W2" s="2"/>
      <c r="X2" s="2"/>
      <c r="Y2" s="2"/>
      <c r="Z2" s="2"/>
      <c r="AA2" s="2"/>
      <c r="AB2" s="2"/>
      <c r="AC2" s="2"/>
      <c r="AD2" s="2"/>
      <c r="AE2" s="2"/>
      <c r="AF2" s="2"/>
      <c r="AG2" s="3"/>
      <c r="AH2" s="4" t="s">
        <v>3</v>
      </c>
      <c r="AI2" s="4"/>
      <c r="AJ2" s="4"/>
      <c r="AK2" s="4"/>
      <c r="AL2" s="4"/>
      <c r="AM2" s="4"/>
      <c r="AN2" s="449" t="str">
        <f>'1'!AN2</f>
        <v>GARUDA INDONESIA</v>
      </c>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50"/>
    </row>
    <row r="3" spans="1:64" ht="16.5">
      <c r="A3" s="5" t="str">
        <f>'1'!A3</f>
        <v>PT. NUR INFINIT INDOALEA GLOBAL</v>
      </c>
      <c r="B3" s="6"/>
      <c r="C3" s="6"/>
      <c r="D3" s="6"/>
      <c r="E3" s="6"/>
      <c r="F3" s="6"/>
      <c r="G3" s="6"/>
      <c r="H3" s="6"/>
      <c r="I3" s="6"/>
      <c r="J3" s="6"/>
      <c r="K3" s="6"/>
      <c r="L3" s="6"/>
      <c r="M3" s="6"/>
      <c r="N3" s="6"/>
      <c r="O3" s="6"/>
      <c r="P3" s="6"/>
      <c r="Q3" s="6"/>
      <c r="R3" s="6"/>
      <c r="S3" s="6"/>
      <c r="T3" s="7"/>
      <c r="U3" s="8"/>
      <c r="V3" s="8"/>
      <c r="W3" s="8"/>
      <c r="X3" s="8"/>
      <c r="Y3" s="8"/>
      <c r="Z3" s="8"/>
      <c r="AA3" s="8"/>
      <c r="AB3" s="8"/>
      <c r="AC3" s="8"/>
      <c r="AD3" s="8"/>
      <c r="AE3" s="8"/>
      <c r="AF3" s="8"/>
      <c r="AG3" s="9"/>
      <c r="AH3" s="1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2"/>
    </row>
    <row r="4" spans="1:64">
      <c r="A4" s="440"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12"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2"/>
    </row>
    <row r="5" spans="1:64">
      <c r="A5" s="442"/>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441"/>
      <c r="AH5" s="13"/>
      <c r="AI5" s="14"/>
      <c r="AJ5" s="14"/>
      <c r="AK5" s="14"/>
      <c r="AL5" s="14"/>
      <c r="AM5" s="14"/>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4"/>
    </row>
    <row r="6" spans="1:64">
      <c r="A6" s="442"/>
      <c r="B6" s="441"/>
      <c r="C6" s="441"/>
      <c r="D6" s="441"/>
      <c r="E6" s="441"/>
      <c r="F6" s="441"/>
      <c r="G6" s="441"/>
      <c r="H6" s="441"/>
      <c r="I6" s="441"/>
      <c r="J6" s="441"/>
      <c r="K6" s="441"/>
      <c r="L6" s="441"/>
      <c r="M6" s="441"/>
      <c r="N6" s="441"/>
      <c r="O6" s="441"/>
      <c r="P6" s="441"/>
      <c r="Q6" s="441"/>
      <c r="R6" s="441"/>
      <c r="S6" s="441"/>
      <c r="T6" s="443"/>
      <c r="U6" s="443"/>
      <c r="V6" s="443"/>
      <c r="W6" s="443"/>
      <c r="X6" s="443"/>
      <c r="Y6" s="443"/>
      <c r="Z6" s="443"/>
      <c r="AA6" s="443"/>
      <c r="AB6" s="443"/>
      <c r="AC6" s="443"/>
      <c r="AD6" s="443"/>
      <c r="AE6" s="443"/>
      <c r="AF6" s="443"/>
      <c r="AG6" s="444"/>
      <c r="AH6" s="271" t="s">
        <v>9</v>
      </c>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row>
    <row r="7" spans="1:64">
      <c r="A7" s="455" t="s">
        <v>10</v>
      </c>
      <c r="B7" s="337"/>
      <c r="C7" s="337"/>
      <c r="D7" s="337"/>
      <c r="E7" s="337"/>
      <c r="F7" s="337"/>
      <c r="G7" s="337"/>
      <c r="H7" s="337"/>
      <c r="I7" s="337"/>
      <c r="J7" s="337"/>
      <c r="K7" s="337"/>
      <c r="L7" s="337"/>
      <c r="M7" s="337"/>
      <c r="N7" s="337"/>
      <c r="O7" s="337"/>
      <c r="P7" s="337"/>
      <c r="Q7" s="337"/>
      <c r="R7" s="337"/>
      <c r="S7" s="337"/>
      <c r="T7" s="455" t="s">
        <v>11</v>
      </c>
      <c r="U7" s="337"/>
      <c r="V7" s="337"/>
      <c r="W7" s="337"/>
      <c r="X7" s="337"/>
      <c r="Y7" s="337"/>
      <c r="Z7" s="337"/>
      <c r="AA7" s="337"/>
      <c r="AB7" s="337"/>
      <c r="AC7" s="337"/>
      <c r="AD7" s="337"/>
      <c r="AE7" s="337"/>
      <c r="AF7" s="337"/>
      <c r="AG7" s="338"/>
      <c r="AH7" s="445" t="s">
        <v>12</v>
      </c>
      <c r="AI7" s="446"/>
      <c r="AJ7" s="446"/>
      <c r="AK7" s="446"/>
      <c r="AL7" s="446"/>
      <c r="AM7" s="446"/>
      <c r="AN7" s="446"/>
      <c r="AO7" s="446"/>
      <c r="AP7" s="446"/>
      <c r="AQ7" s="446"/>
      <c r="AR7" s="446"/>
      <c r="AS7" s="446"/>
      <c r="AT7" s="446"/>
      <c r="AU7" s="446"/>
      <c r="AV7" s="446"/>
      <c r="AW7" s="446"/>
      <c r="AX7" s="446"/>
      <c r="AY7" s="446"/>
      <c r="AZ7" s="446"/>
      <c r="BA7" s="446"/>
      <c r="BB7" s="446"/>
      <c r="BC7" s="446"/>
      <c r="BD7" s="446"/>
      <c r="BE7" s="446"/>
      <c r="BF7" s="446"/>
      <c r="BG7" s="446"/>
      <c r="BH7" s="446"/>
      <c r="BI7" s="446"/>
      <c r="BJ7" s="446"/>
      <c r="BK7" s="446"/>
      <c r="BL7" s="446"/>
    </row>
    <row r="8" spans="1:64">
      <c r="A8" s="263" t="str">
        <f>'1'!A8</f>
        <v>LINEHAUL EXPRESS SINGAPORE PTE LTD</v>
      </c>
      <c r="B8" s="15"/>
      <c r="C8" s="15"/>
      <c r="D8" s="15"/>
      <c r="E8" s="15"/>
      <c r="F8" s="15"/>
      <c r="G8" s="15"/>
      <c r="H8" s="15"/>
      <c r="I8" s="15"/>
      <c r="J8" s="15"/>
      <c r="K8" s="15"/>
      <c r="L8" s="15"/>
      <c r="M8" s="15"/>
      <c r="N8" s="15"/>
      <c r="O8" s="15"/>
      <c r="P8" s="15"/>
      <c r="Q8" s="15"/>
      <c r="R8" s="15"/>
      <c r="S8" s="15"/>
      <c r="T8" s="7"/>
      <c r="U8" s="8"/>
      <c r="V8" s="8"/>
      <c r="W8" s="8"/>
      <c r="X8" s="8"/>
      <c r="Y8" s="8"/>
      <c r="Z8" s="8"/>
      <c r="AA8" s="8"/>
      <c r="AB8" s="8"/>
      <c r="AC8" s="8"/>
      <c r="AD8" s="8"/>
      <c r="AE8" s="8"/>
      <c r="AF8" s="8"/>
      <c r="AG8" s="9"/>
      <c r="AH8" s="447"/>
      <c r="AI8" s="446"/>
      <c r="AJ8" s="446"/>
      <c r="AK8" s="446"/>
      <c r="AL8" s="446"/>
      <c r="AM8" s="446"/>
      <c r="AN8" s="446"/>
      <c r="AO8" s="446"/>
      <c r="AP8" s="446"/>
      <c r="AQ8" s="446"/>
      <c r="AR8" s="446"/>
      <c r="AS8" s="446"/>
      <c r="AT8" s="446"/>
      <c r="AU8" s="446"/>
      <c r="AV8" s="446"/>
      <c r="AW8" s="446"/>
      <c r="AX8" s="446"/>
      <c r="AY8" s="446"/>
      <c r="AZ8" s="446"/>
      <c r="BA8" s="446"/>
      <c r="BB8" s="446"/>
      <c r="BC8" s="446"/>
      <c r="BD8" s="446"/>
      <c r="BE8" s="446"/>
      <c r="BF8" s="446"/>
      <c r="BG8" s="446"/>
      <c r="BH8" s="446"/>
      <c r="BI8" s="446"/>
      <c r="BJ8" s="446"/>
      <c r="BK8" s="446"/>
      <c r="BL8" s="446"/>
    </row>
    <row r="9" spans="1:64">
      <c r="A9" s="448"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447"/>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row>
    <row r="10" spans="1:64">
      <c r="A10" s="339"/>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447"/>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row>
    <row r="11" spans="1:64">
      <c r="A11" s="339"/>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1"/>
      <c r="AH11" s="447"/>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row>
    <row r="12" spans="1:64">
      <c r="A12" s="339"/>
      <c r="B12" s="340"/>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1"/>
      <c r="AH12" s="447"/>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46"/>
      <c r="BE12" s="446"/>
      <c r="BF12" s="446"/>
      <c r="BG12" s="446"/>
      <c r="BH12" s="446"/>
      <c r="BI12" s="446"/>
      <c r="BJ12" s="446"/>
      <c r="BK12" s="446"/>
      <c r="BL12" s="446"/>
    </row>
    <row r="13" spans="1:64">
      <c r="A13" s="455" t="s">
        <v>15</v>
      </c>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8"/>
      <c r="AH13" s="337" t="s">
        <v>16</v>
      </c>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8"/>
    </row>
    <row r="14" spans="1:64">
      <c r="A14" s="433"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5"/>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431"/>
    </row>
    <row r="15" spans="1:64">
      <c r="A15" s="436"/>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8"/>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431"/>
    </row>
    <row r="16" spans="1:64">
      <c r="A16" s="417" t="s">
        <v>18</v>
      </c>
      <c r="B16" s="417"/>
      <c r="C16" s="417"/>
      <c r="D16" s="417"/>
      <c r="E16" s="417"/>
      <c r="F16" s="417"/>
      <c r="G16" s="417"/>
      <c r="H16" s="417"/>
      <c r="I16" s="417"/>
      <c r="J16" s="417"/>
      <c r="K16" s="417"/>
      <c r="L16" s="417"/>
      <c r="M16" s="417"/>
      <c r="N16" s="417"/>
      <c r="O16" s="417"/>
      <c r="P16" s="417"/>
      <c r="Q16" s="417" t="s">
        <v>19</v>
      </c>
      <c r="R16" s="417"/>
      <c r="S16" s="417"/>
      <c r="T16" s="417"/>
      <c r="U16" s="417"/>
      <c r="V16" s="417"/>
      <c r="W16" s="417"/>
      <c r="X16" s="417"/>
      <c r="Y16" s="417"/>
      <c r="Z16" s="417"/>
      <c r="AA16" s="417"/>
      <c r="AB16" s="417"/>
      <c r="AC16" s="417"/>
      <c r="AD16" s="417"/>
      <c r="AE16" s="417"/>
      <c r="AF16" s="417"/>
      <c r="AG16" s="417"/>
      <c r="AH16" s="335"/>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431"/>
    </row>
    <row r="17" spans="1:64">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335"/>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431"/>
    </row>
    <row r="18" spans="1:64">
      <c r="A18" s="455" t="s">
        <v>20</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8"/>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431"/>
    </row>
    <row r="19" spans="1:64">
      <c r="A19" s="436" t="str">
        <f>'1'!A19</f>
        <v>SOEKARNO-HATTA INTERNATIONAL AIRPORT</v>
      </c>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8"/>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2"/>
      <c r="BK19" s="432"/>
      <c r="BL19" s="416"/>
    </row>
    <row r="20" spans="1:64" ht="15" customHeight="1">
      <c r="A20" s="413" t="str">
        <f>'1'!A20</f>
        <v>SIN</v>
      </c>
      <c r="B20" s="413"/>
      <c r="C20" s="286"/>
      <c r="D20" s="294" t="s">
        <v>23</v>
      </c>
      <c r="E20" s="295"/>
      <c r="F20" s="295"/>
      <c r="G20" s="295"/>
      <c r="H20" s="295"/>
      <c r="I20" s="295"/>
      <c r="J20" s="295"/>
      <c r="K20" s="295"/>
      <c r="L20" s="295"/>
      <c r="M20" s="295"/>
      <c r="N20" s="295"/>
      <c r="O20" s="295"/>
      <c r="P20" s="295"/>
      <c r="Q20" s="295"/>
      <c r="R20" s="295"/>
      <c r="S20" s="295"/>
      <c r="T20" s="295"/>
      <c r="U20" s="296"/>
      <c r="V20" s="416" t="s">
        <v>26</v>
      </c>
      <c r="W20" s="417"/>
      <c r="X20" s="417"/>
      <c r="Y20" s="417" t="s">
        <v>27</v>
      </c>
      <c r="Z20" s="417"/>
      <c r="AA20" s="417"/>
      <c r="AB20" s="417" t="s">
        <v>26</v>
      </c>
      <c r="AC20" s="417"/>
      <c r="AD20" s="417"/>
      <c r="AE20" s="417" t="s">
        <v>27</v>
      </c>
      <c r="AF20" s="417"/>
      <c r="AG20" s="417"/>
      <c r="AH20" s="276" t="s">
        <v>28</v>
      </c>
      <c r="AI20" s="277"/>
      <c r="AJ20" s="277"/>
      <c r="AK20" s="278"/>
      <c r="AL20" s="420" t="s">
        <v>29</v>
      </c>
      <c r="AM20" s="421"/>
      <c r="AN20" s="297" t="s">
        <v>30</v>
      </c>
      <c r="AO20" s="297"/>
      <c r="AP20" s="297"/>
      <c r="AQ20" s="297"/>
      <c r="AR20" s="297" t="s">
        <v>31</v>
      </c>
      <c r="AS20" s="297"/>
      <c r="AT20" s="297"/>
      <c r="AU20" s="297"/>
      <c r="AV20" s="279" t="s">
        <v>32</v>
      </c>
      <c r="AW20" s="280"/>
      <c r="AX20" s="280"/>
      <c r="AY20" s="280"/>
      <c r="AZ20" s="280"/>
      <c r="BA20" s="280"/>
      <c r="BB20" s="280"/>
      <c r="BC20" s="280"/>
      <c r="BD20" s="281"/>
      <c r="BE20" s="279" t="s">
        <v>33</v>
      </c>
      <c r="BF20" s="280"/>
      <c r="BG20" s="280"/>
      <c r="BH20" s="280"/>
      <c r="BI20" s="280"/>
      <c r="BJ20" s="280"/>
      <c r="BK20" s="280"/>
      <c r="BL20" s="281"/>
    </row>
    <row r="21" spans="1:64">
      <c r="A21" s="414"/>
      <c r="B21" s="414"/>
      <c r="C21" s="415"/>
      <c r="D21" s="282" t="str">
        <f>'1'!D21</f>
        <v>GARUDA INDONESIA</v>
      </c>
      <c r="E21" s="283"/>
      <c r="F21" s="283"/>
      <c r="G21" s="283"/>
      <c r="H21" s="283"/>
      <c r="I21" s="283"/>
      <c r="J21" s="283"/>
      <c r="K21" s="283"/>
      <c r="L21" s="283"/>
      <c r="M21" s="283"/>
      <c r="N21" s="283"/>
      <c r="O21" s="283"/>
      <c r="P21" s="283"/>
      <c r="Q21" s="283"/>
      <c r="R21" s="284"/>
      <c r="S21" s="284"/>
      <c r="T21" s="284"/>
      <c r="U21" s="285"/>
      <c r="V21" s="418"/>
      <c r="W21" s="419"/>
      <c r="X21" s="419"/>
      <c r="Y21" s="419"/>
      <c r="Z21" s="419"/>
      <c r="AA21" s="419"/>
      <c r="AB21" s="419"/>
      <c r="AC21" s="419"/>
      <c r="AD21" s="419"/>
      <c r="AE21" s="419"/>
      <c r="AF21" s="419"/>
      <c r="AG21" s="419"/>
      <c r="AH21" s="286" t="str">
        <f>'1'!AH21</f>
        <v>IDR</v>
      </c>
      <c r="AI21" s="287"/>
      <c r="AJ21" s="287"/>
      <c r="AK21" s="288"/>
      <c r="AL21" s="421"/>
      <c r="AM21" s="421"/>
      <c r="AN21" s="289" t="s">
        <v>72</v>
      </c>
      <c r="AO21" s="290"/>
      <c r="AP21" s="289" t="s">
        <v>73</v>
      </c>
      <c r="AQ21" s="290"/>
      <c r="AR21" s="289" t="s">
        <v>72</v>
      </c>
      <c r="AS21" s="290"/>
      <c r="AT21" s="290" t="s">
        <v>36</v>
      </c>
      <c r="AU21" s="290"/>
      <c r="AV21" s="291" t="str">
        <f>'1'!AV21</f>
        <v>NVD</v>
      </c>
      <c r="AW21" s="292"/>
      <c r="AX21" s="292"/>
      <c r="AY21" s="292"/>
      <c r="AZ21" s="292"/>
      <c r="BA21" s="292"/>
      <c r="BB21" s="292"/>
      <c r="BC21" s="292"/>
      <c r="BD21" s="293"/>
      <c r="BE21" s="291" t="str">
        <f>'1'!BE21</f>
        <v>NCV</v>
      </c>
      <c r="BF21" s="292"/>
      <c r="BG21" s="292"/>
      <c r="BH21" s="292"/>
      <c r="BI21" s="292"/>
      <c r="BJ21" s="292"/>
      <c r="BK21" s="292"/>
      <c r="BL21" s="293"/>
    </row>
    <row r="22" spans="1:64">
      <c r="A22" s="428" t="s">
        <v>39</v>
      </c>
      <c r="B22" s="429"/>
      <c r="C22" s="429"/>
      <c r="D22" s="429"/>
      <c r="E22" s="429"/>
      <c r="F22" s="429"/>
      <c r="G22" s="429"/>
      <c r="H22" s="429"/>
      <c r="I22" s="429"/>
      <c r="J22" s="429"/>
      <c r="K22" s="429"/>
      <c r="L22" s="429"/>
      <c r="M22" s="429"/>
      <c r="N22" s="429"/>
      <c r="O22" s="429"/>
      <c r="P22" s="429"/>
      <c r="Q22" s="430"/>
      <c r="R22" s="273" t="s">
        <v>40</v>
      </c>
      <c r="S22" s="273"/>
      <c r="T22" s="273"/>
      <c r="U22" s="273"/>
      <c r="V22" s="273"/>
      <c r="W22" s="273"/>
      <c r="X22" s="273"/>
      <c r="Y22" s="273"/>
      <c r="Z22" s="273"/>
      <c r="AA22" s="273"/>
      <c r="AB22" s="273"/>
      <c r="AC22" s="273"/>
      <c r="AD22" s="273" t="s">
        <v>40</v>
      </c>
      <c r="AE22" s="274"/>
      <c r="AF22" s="274"/>
      <c r="AG22" s="275"/>
      <c r="AH22" s="276" t="s">
        <v>41</v>
      </c>
      <c r="AI22" s="277"/>
      <c r="AJ22" s="277"/>
      <c r="AK22" s="277"/>
      <c r="AL22" s="277"/>
      <c r="AM22" s="277"/>
      <c r="AN22" s="277"/>
      <c r="AO22" s="277"/>
      <c r="AP22" s="277"/>
      <c r="AQ22" s="278"/>
      <c r="AR22" s="407" t="s">
        <v>42</v>
      </c>
      <c r="AS22" s="408"/>
      <c r="AT22" s="408"/>
      <c r="AU22" s="408"/>
      <c r="AV22" s="408"/>
      <c r="AW22" s="408"/>
      <c r="AX22" s="408"/>
      <c r="AY22" s="408"/>
      <c r="AZ22" s="408"/>
      <c r="BA22" s="408"/>
      <c r="BB22" s="408"/>
      <c r="BC22" s="408"/>
      <c r="BD22" s="408"/>
      <c r="BE22" s="408"/>
      <c r="BF22" s="408"/>
      <c r="BG22" s="408"/>
      <c r="BH22" s="408"/>
      <c r="BI22" s="408"/>
      <c r="BJ22" s="408"/>
      <c r="BK22" s="408"/>
      <c r="BL22" s="409"/>
    </row>
    <row r="23" spans="1:64">
      <c r="A23" s="329" t="str">
        <f>'1'!A23</f>
        <v>SINGAPORE</v>
      </c>
      <c r="B23" s="330"/>
      <c r="C23" s="330"/>
      <c r="D23" s="330"/>
      <c r="E23" s="330"/>
      <c r="F23" s="330"/>
      <c r="G23" s="330"/>
      <c r="H23" s="330"/>
      <c r="I23" s="330"/>
      <c r="J23" s="330"/>
      <c r="K23" s="330"/>
      <c r="L23" s="330"/>
      <c r="M23" s="330"/>
      <c r="N23" s="330"/>
      <c r="O23" s="330"/>
      <c r="P23" s="330"/>
      <c r="Q23" s="331"/>
      <c r="R23" s="16" t="str">
        <f>'8'!R23</f>
        <v>GA 824</v>
      </c>
      <c r="S23" s="16"/>
      <c r="T23" s="16"/>
      <c r="U23" s="16"/>
      <c r="V23" s="16"/>
      <c r="W23" s="16"/>
      <c r="X23" s="16"/>
      <c r="Y23" s="17"/>
      <c r="Z23" s="332">
        <f>'8'!Z23</f>
        <v>46171</v>
      </c>
      <c r="AA23" s="333"/>
      <c r="AB23" s="333"/>
      <c r="AC23" s="333"/>
      <c r="AD23" s="333"/>
      <c r="AE23" s="333"/>
      <c r="AF23" s="333"/>
      <c r="AG23" s="334"/>
      <c r="AH23" s="286" t="s">
        <v>45</v>
      </c>
      <c r="AI23" s="287"/>
      <c r="AJ23" s="287"/>
      <c r="AK23" s="287"/>
      <c r="AL23" s="287"/>
      <c r="AM23" s="287"/>
      <c r="AN23" s="287"/>
      <c r="AO23" s="287"/>
      <c r="AP23" s="287"/>
      <c r="AQ23" s="288"/>
      <c r="AR23" s="410"/>
      <c r="AS23" s="411"/>
      <c r="AT23" s="411"/>
      <c r="AU23" s="411"/>
      <c r="AV23" s="411"/>
      <c r="AW23" s="411"/>
      <c r="AX23" s="411"/>
      <c r="AY23" s="411"/>
      <c r="AZ23" s="411"/>
      <c r="BA23" s="411"/>
      <c r="BB23" s="411"/>
      <c r="BC23" s="411"/>
      <c r="BD23" s="411"/>
      <c r="BE23" s="411"/>
      <c r="BF23" s="411"/>
      <c r="BG23" s="411"/>
      <c r="BH23" s="411"/>
      <c r="BI23" s="411"/>
      <c r="BJ23" s="411"/>
      <c r="BK23" s="411"/>
      <c r="BL23" s="412"/>
    </row>
    <row r="24" spans="1:64">
      <c r="A24" s="335" t="s">
        <v>46</v>
      </c>
      <c r="B24" s="336"/>
      <c r="C24" s="336"/>
      <c r="D24" s="336"/>
      <c r="E24" s="336"/>
      <c r="F24" s="336"/>
      <c r="G24" s="336"/>
      <c r="H24" s="336"/>
      <c r="I24" s="336"/>
      <c r="J24" s="336"/>
      <c r="K24" s="336"/>
      <c r="L24" s="336"/>
      <c r="M24" s="336"/>
      <c r="N24" s="336"/>
      <c r="O24" s="336"/>
      <c r="P24" s="336"/>
      <c r="Q24" s="336"/>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8"/>
    </row>
    <row r="25" spans="1:64">
      <c r="A25" s="18">
        <f>'1'!A25</f>
        <v>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20"/>
    </row>
    <row r="26" spans="1:64">
      <c r="A26" s="21">
        <f>'8'!A26</f>
        <v>0</v>
      </c>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3"/>
    </row>
    <row r="27" spans="1:64" ht="15.75">
      <c r="A27" s="327" t="s">
        <v>47</v>
      </c>
      <c r="B27" s="327"/>
      <c r="C27" s="327"/>
      <c r="D27" s="327" t="s">
        <v>48</v>
      </c>
      <c r="E27" s="327"/>
      <c r="F27" s="327"/>
      <c r="G27" s="327"/>
      <c r="H27" s="327"/>
      <c r="I27" s="327"/>
      <c r="J27" s="379" t="s">
        <v>49</v>
      </c>
      <c r="K27" s="382"/>
      <c r="L27" s="425" t="s">
        <v>50</v>
      </c>
      <c r="M27" s="406"/>
      <c r="N27" s="406"/>
      <c r="O27" s="406"/>
      <c r="P27" s="406"/>
      <c r="Q27" s="406"/>
      <c r="R27" s="382"/>
      <c r="S27" s="406" t="s">
        <v>51</v>
      </c>
      <c r="T27" s="406"/>
      <c r="U27" s="406"/>
      <c r="V27" s="406"/>
      <c r="W27" s="406"/>
      <c r="X27" s="406"/>
      <c r="Y27" s="406"/>
      <c r="Z27" s="382"/>
      <c r="AA27" s="24" t="s">
        <v>52</v>
      </c>
      <c r="AB27" s="25"/>
      <c r="AC27" s="25"/>
      <c r="AD27" s="25"/>
      <c r="AE27" s="25"/>
      <c r="AF27" s="25"/>
      <c r="AG27" s="26"/>
      <c r="AH27" s="384"/>
      <c r="AI27" s="406" t="s">
        <v>53</v>
      </c>
      <c r="AJ27" s="406"/>
      <c r="AK27" s="406"/>
      <c r="AL27" s="406"/>
      <c r="AM27" s="406"/>
      <c r="AN27" s="406"/>
      <c r="AO27" s="406"/>
      <c r="AP27" s="406"/>
      <c r="AQ27" s="406"/>
      <c r="AR27" s="382"/>
      <c r="AS27" s="327" t="s">
        <v>54</v>
      </c>
      <c r="AT27" s="406"/>
      <c r="AU27" s="406"/>
      <c r="AV27" s="406"/>
      <c r="AW27" s="406"/>
      <c r="AX27" s="406"/>
      <c r="AY27" s="406"/>
      <c r="AZ27" s="406"/>
      <c r="BA27" s="406"/>
      <c r="BB27" s="406"/>
      <c r="BC27" s="406"/>
      <c r="BD27" s="406"/>
      <c r="BE27" s="406"/>
      <c r="BF27" s="406"/>
      <c r="BG27" s="406"/>
      <c r="BH27" s="406"/>
      <c r="BI27" s="406"/>
      <c r="BJ27" s="406"/>
      <c r="BK27" s="406"/>
      <c r="BL27" s="406"/>
    </row>
    <row r="28" spans="1:64" ht="21" customHeight="1">
      <c r="A28" s="328"/>
      <c r="B28" s="328"/>
      <c r="C28" s="328"/>
      <c r="D28" s="328"/>
      <c r="E28" s="328"/>
      <c r="F28" s="328"/>
      <c r="G28" s="328"/>
      <c r="H28" s="328"/>
      <c r="I28" s="328"/>
      <c r="J28" s="380"/>
      <c r="K28" s="383"/>
      <c r="L28" s="27"/>
      <c r="M28" s="426" t="s">
        <v>55</v>
      </c>
      <c r="N28" s="426"/>
      <c r="O28" s="426"/>
      <c r="P28" s="426"/>
      <c r="Q28" s="427"/>
      <c r="R28" s="382"/>
      <c r="S28" s="297"/>
      <c r="T28" s="297"/>
      <c r="U28" s="297"/>
      <c r="V28" s="297"/>
      <c r="W28" s="297"/>
      <c r="X28" s="297"/>
      <c r="Y28" s="297"/>
      <c r="Z28" s="382"/>
      <c r="AA28" s="28"/>
      <c r="AB28" s="29"/>
      <c r="AC28" s="29"/>
      <c r="AD28" s="29"/>
      <c r="AE28" s="30" t="s">
        <v>56</v>
      </c>
      <c r="AF28" s="29"/>
      <c r="AG28" s="31"/>
      <c r="AH28" s="384"/>
      <c r="AI28" s="297"/>
      <c r="AJ28" s="297"/>
      <c r="AK28" s="297"/>
      <c r="AL28" s="297"/>
      <c r="AM28" s="297"/>
      <c r="AN28" s="297"/>
      <c r="AO28" s="297"/>
      <c r="AP28" s="297"/>
      <c r="AQ28" s="297"/>
      <c r="AR28" s="382"/>
      <c r="AS28" s="297"/>
      <c r="AT28" s="297"/>
      <c r="AU28" s="297"/>
      <c r="AV28" s="297"/>
      <c r="AW28" s="297"/>
      <c r="AX28" s="297"/>
      <c r="AY28" s="297"/>
      <c r="AZ28" s="297"/>
      <c r="BA28" s="297"/>
      <c r="BB28" s="297"/>
      <c r="BC28" s="297"/>
      <c r="BD28" s="297"/>
      <c r="BE28" s="297"/>
      <c r="BF28" s="297"/>
      <c r="BG28" s="297"/>
      <c r="BH28" s="297"/>
      <c r="BI28" s="297"/>
      <c r="BJ28" s="297"/>
      <c r="BK28" s="297"/>
      <c r="BL28" s="297"/>
    </row>
    <row r="29" spans="1:64">
      <c r="A29" s="1391">
        <f>'1'!A29</f>
        <v>23</v>
      </c>
      <c r="B29" s="1392"/>
      <c r="C29" s="1393"/>
      <c r="D29" s="314">
        <f>'1'!D29</f>
        <v>398</v>
      </c>
      <c r="E29" s="315"/>
      <c r="F29" s="315"/>
      <c r="G29" s="315"/>
      <c r="H29" s="315"/>
      <c r="I29" s="316"/>
      <c r="J29" s="381" t="s">
        <v>57</v>
      </c>
      <c r="K29" s="382"/>
      <c r="L29" s="381" t="s">
        <v>58</v>
      </c>
      <c r="M29" s="324"/>
      <c r="N29" s="325"/>
      <c r="O29" s="325"/>
      <c r="P29" s="325"/>
      <c r="Q29" s="326"/>
      <c r="R29" s="382"/>
      <c r="S29" s="314">
        <f>'1'!S29</f>
        <v>398</v>
      </c>
      <c r="T29" s="315"/>
      <c r="U29" s="315"/>
      <c r="V29" s="315"/>
      <c r="W29" s="315"/>
      <c r="X29" s="315"/>
      <c r="Y29" s="316"/>
      <c r="Z29" s="382"/>
      <c r="AA29" s="320">
        <f>'1'!AA29</f>
        <v>16800</v>
      </c>
      <c r="AB29" s="320"/>
      <c r="AC29" s="320"/>
      <c r="AD29" s="320"/>
      <c r="AE29" s="320"/>
      <c r="AF29" s="320"/>
      <c r="AG29" s="319"/>
      <c r="AH29" s="382"/>
      <c r="AI29" s="1400">
        <f>AA29*S29</f>
        <v>6686400</v>
      </c>
      <c r="AJ29" s="1401"/>
      <c r="AK29" s="1401"/>
      <c r="AL29" s="1401"/>
      <c r="AM29" s="1401"/>
      <c r="AN29" s="1401"/>
      <c r="AO29" s="1401"/>
      <c r="AP29" s="1401"/>
      <c r="AQ29" s="1402"/>
      <c r="AR29" s="382"/>
      <c r="AS29" s="1347">
        <f>'8'!AS29</f>
        <v>0</v>
      </c>
      <c r="AT29" s="371"/>
      <c r="AU29" s="371"/>
      <c r="AV29" s="371"/>
      <c r="AW29" s="371"/>
      <c r="AX29" s="371"/>
      <c r="AY29" s="371"/>
      <c r="AZ29" s="371"/>
      <c r="BA29" s="371"/>
      <c r="BB29" s="371"/>
      <c r="BC29" s="371"/>
      <c r="BD29" s="371"/>
      <c r="BE29" s="371"/>
      <c r="BF29" s="371"/>
      <c r="BG29" s="371"/>
      <c r="BH29" s="371"/>
      <c r="BI29" s="371"/>
      <c r="BJ29" s="371"/>
      <c r="BK29" s="371"/>
      <c r="BL29" s="372"/>
    </row>
    <row r="30" spans="1:64">
      <c r="A30" s="1394"/>
      <c r="B30" s="1395"/>
      <c r="C30" s="1396"/>
      <c r="D30" s="317"/>
      <c r="E30" s="320"/>
      <c r="F30" s="320"/>
      <c r="G30" s="320"/>
      <c r="H30" s="320"/>
      <c r="I30" s="319"/>
      <c r="J30" s="381"/>
      <c r="K30" s="382"/>
      <c r="L30" s="381"/>
      <c r="M30" s="324"/>
      <c r="N30" s="325"/>
      <c r="O30" s="325"/>
      <c r="P30" s="325"/>
      <c r="Q30" s="326"/>
      <c r="R30" s="382"/>
      <c r="S30" s="317"/>
      <c r="T30" s="320"/>
      <c r="U30" s="320"/>
      <c r="V30" s="320"/>
      <c r="W30" s="320"/>
      <c r="X30" s="320"/>
      <c r="Y30" s="319"/>
      <c r="Z30" s="382"/>
      <c r="AA30" s="320"/>
      <c r="AB30" s="320"/>
      <c r="AC30" s="320"/>
      <c r="AD30" s="320"/>
      <c r="AE30" s="320"/>
      <c r="AF30" s="320"/>
      <c r="AG30" s="319"/>
      <c r="AH30" s="382"/>
      <c r="AI30" s="1403"/>
      <c r="AJ30" s="1404"/>
      <c r="AK30" s="1404"/>
      <c r="AL30" s="1404"/>
      <c r="AM30" s="1404"/>
      <c r="AN30" s="1404"/>
      <c r="AO30" s="1404"/>
      <c r="AP30" s="1404"/>
      <c r="AQ30" s="1405"/>
      <c r="AR30" s="382"/>
      <c r="AS30" s="339"/>
      <c r="AT30" s="340"/>
      <c r="AU30" s="340"/>
      <c r="AV30" s="340"/>
      <c r="AW30" s="340"/>
      <c r="AX30" s="340"/>
      <c r="AY30" s="340"/>
      <c r="AZ30" s="340"/>
      <c r="BA30" s="340"/>
      <c r="BB30" s="340"/>
      <c r="BC30" s="340"/>
      <c r="BD30" s="340"/>
      <c r="BE30" s="340"/>
      <c r="BF30" s="340"/>
      <c r="BG30" s="340"/>
      <c r="BH30" s="340"/>
      <c r="BI30" s="340"/>
      <c r="BJ30" s="340"/>
      <c r="BK30" s="340"/>
      <c r="BL30" s="341"/>
    </row>
    <row r="31" spans="1:64">
      <c r="A31" s="1394"/>
      <c r="B31" s="1395"/>
      <c r="C31" s="1396"/>
      <c r="D31" s="317"/>
      <c r="E31" s="320"/>
      <c r="F31" s="320"/>
      <c r="G31" s="320"/>
      <c r="H31" s="320"/>
      <c r="I31" s="319"/>
      <c r="J31" s="381"/>
      <c r="K31" s="382"/>
      <c r="L31" s="381"/>
      <c r="M31" s="324"/>
      <c r="N31" s="325"/>
      <c r="O31" s="325"/>
      <c r="P31" s="325"/>
      <c r="Q31" s="326"/>
      <c r="R31" s="382"/>
      <c r="S31" s="317"/>
      <c r="T31" s="320"/>
      <c r="U31" s="320"/>
      <c r="V31" s="320"/>
      <c r="W31" s="320"/>
      <c r="X31" s="320"/>
      <c r="Y31" s="319"/>
      <c r="Z31" s="382"/>
      <c r="AA31" s="320"/>
      <c r="AB31" s="320"/>
      <c r="AC31" s="320"/>
      <c r="AD31" s="320"/>
      <c r="AE31" s="320"/>
      <c r="AF31" s="320"/>
      <c r="AG31" s="319"/>
      <c r="AH31" s="382"/>
      <c r="AI31" s="1403"/>
      <c r="AJ31" s="1404"/>
      <c r="AK31" s="1404"/>
      <c r="AL31" s="1404"/>
      <c r="AM31" s="1404"/>
      <c r="AN31" s="1404"/>
      <c r="AO31" s="1404"/>
      <c r="AP31" s="1404"/>
      <c r="AQ31" s="1405"/>
      <c r="AR31" s="382"/>
      <c r="AS31" s="339"/>
      <c r="AT31" s="340"/>
      <c r="AU31" s="340"/>
      <c r="AV31" s="340"/>
      <c r="AW31" s="340"/>
      <c r="AX31" s="340"/>
      <c r="AY31" s="340"/>
      <c r="AZ31" s="340"/>
      <c r="BA31" s="340"/>
      <c r="BB31" s="340"/>
      <c r="BC31" s="340"/>
      <c r="BD31" s="340"/>
      <c r="BE31" s="340"/>
      <c r="BF31" s="340"/>
      <c r="BG31" s="340"/>
      <c r="BH31" s="340"/>
      <c r="BI31" s="340"/>
      <c r="BJ31" s="340"/>
      <c r="BK31" s="340"/>
      <c r="BL31" s="341"/>
    </row>
    <row r="32" spans="1:64">
      <c r="A32" s="1394"/>
      <c r="B32" s="1395"/>
      <c r="C32" s="1396"/>
      <c r="D32" s="317"/>
      <c r="E32" s="320"/>
      <c r="F32" s="320"/>
      <c r="G32" s="320"/>
      <c r="H32" s="320"/>
      <c r="I32" s="319"/>
      <c r="J32" s="381"/>
      <c r="K32" s="382"/>
      <c r="L32" s="381"/>
      <c r="M32" s="324"/>
      <c r="N32" s="325"/>
      <c r="O32" s="325"/>
      <c r="P32" s="325"/>
      <c r="Q32" s="326"/>
      <c r="R32" s="382"/>
      <c r="S32" s="317"/>
      <c r="T32" s="320"/>
      <c r="U32" s="320"/>
      <c r="V32" s="320"/>
      <c r="W32" s="320"/>
      <c r="X32" s="320"/>
      <c r="Y32" s="319"/>
      <c r="Z32" s="382"/>
      <c r="AA32" s="320"/>
      <c r="AB32" s="320"/>
      <c r="AC32" s="320"/>
      <c r="AD32" s="320"/>
      <c r="AE32" s="320"/>
      <c r="AF32" s="320"/>
      <c r="AG32" s="319"/>
      <c r="AH32" s="382"/>
      <c r="AI32" s="1403"/>
      <c r="AJ32" s="1404"/>
      <c r="AK32" s="1404"/>
      <c r="AL32" s="1404"/>
      <c r="AM32" s="1404"/>
      <c r="AN32" s="1404"/>
      <c r="AO32" s="1404"/>
      <c r="AP32" s="1404"/>
      <c r="AQ32" s="1405"/>
      <c r="AR32" s="382"/>
      <c r="AS32" s="339"/>
      <c r="AT32" s="340"/>
      <c r="AU32" s="340"/>
      <c r="AV32" s="340"/>
      <c r="AW32" s="340"/>
      <c r="AX32" s="340"/>
      <c r="AY32" s="340"/>
      <c r="AZ32" s="340"/>
      <c r="BA32" s="340"/>
      <c r="BB32" s="340"/>
      <c r="BC32" s="340"/>
      <c r="BD32" s="340"/>
      <c r="BE32" s="340"/>
      <c r="BF32" s="340"/>
      <c r="BG32" s="340"/>
      <c r="BH32" s="340"/>
      <c r="BI32" s="340"/>
      <c r="BJ32" s="340"/>
      <c r="BK32" s="340"/>
      <c r="BL32" s="341"/>
    </row>
    <row r="33" spans="1:64">
      <c r="A33" s="1394"/>
      <c r="B33" s="1395"/>
      <c r="C33" s="1396"/>
      <c r="D33" s="317"/>
      <c r="E33" s="320"/>
      <c r="F33" s="320"/>
      <c r="G33" s="320"/>
      <c r="H33" s="320"/>
      <c r="I33" s="319"/>
      <c r="J33" s="381"/>
      <c r="K33" s="382"/>
      <c r="L33" s="381"/>
      <c r="M33" s="324"/>
      <c r="N33" s="325"/>
      <c r="O33" s="325"/>
      <c r="P33" s="325"/>
      <c r="Q33" s="326"/>
      <c r="R33" s="382"/>
      <c r="S33" s="317"/>
      <c r="T33" s="320"/>
      <c r="U33" s="320"/>
      <c r="V33" s="320"/>
      <c r="W33" s="320"/>
      <c r="X33" s="320"/>
      <c r="Y33" s="319"/>
      <c r="Z33" s="382"/>
      <c r="AA33" s="320"/>
      <c r="AB33" s="320"/>
      <c r="AC33" s="320"/>
      <c r="AD33" s="320"/>
      <c r="AE33" s="320"/>
      <c r="AF33" s="320"/>
      <c r="AG33" s="319"/>
      <c r="AH33" s="382"/>
      <c r="AI33" s="1403"/>
      <c r="AJ33" s="1404"/>
      <c r="AK33" s="1404"/>
      <c r="AL33" s="1404"/>
      <c r="AM33" s="1404"/>
      <c r="AN33" s="1404"/>
      <c r="AO33" s="1404"/>
      <c r="AP33" s="1404"/>
      <c r="AQ33" s="1405"/>
      <c r="AR33" s="382"/>
      <c r="AS33" s="339"/>
      <c r="AT33" s="340"/>
      <c r="AU33" s="340"/>
      <c r="AV33" s="340"/>
      <c r="AW33" s="340"/>
      <c r="AX33" s="340"/>
      <c r="AY33" s="340"/>
      <c r="AZ33" s="340"/>
      <c r="BA33" s="340"/>
      <c r="BB33" s="340"/>
      <c r="BC33" s="340"/>
      <c r="BD33" s="340"/>
      <c r="BE33" s="340"/>
      <c r="BF33" s="340"/>
      <c r="BG33" s="340"/>
      <c r="BH33" s="340"/>
      <c r="BI33" s="340"/>
      <c r="BJ33" s="340"/>
      <c r="BK33" s="340"/>
      <c r="BL33" s="341"/>
    </row>
    <row r="34" spans="1:64">
      <c r="A34" s="1397"/>
      <c r="B34" s="1398"/>
      <c r="C34" s="1399"/>
      <c r="D34" s="321"/>
      <c r="E34" s="322"/>
      <c r="F34" s="322"/>
      <c r="G34" s="322"/>
      <c r="H34" s="322"/>
      <c r="I34" s="323"/>
      <c r="J34" s="381"/>
      <c r="K34" s="382"/>
      <c r="L34" s="381"/>
      <c r="M34" s="324"/>
      <c r="N34" s="325"/>
      <c r="O34" s="325"/>
      <c r="P34" s="325"/>
      <c r="Q34" s="326"/>
      <c r="R34" s="382"/>
      <c r="S34" s="317"/>
      <c r="T34" s="320"/>
      <c r="U34" s="320"/>
      <c r="V34" s="320"/>
      <c r="W34" s="320"/>
      <c r="X34" s="320"/>
      <c r="Y34" s="319"/>
      <c r="Z34" s="382"/>
      <c r="AA34" s="320"/>
      <c r="AB34" s="320"/>
      <c r="AC34" s="320"/>
      <c r="AD34" s="320"/>
      <c r="AE34" s="320"/>
      <c r="AF34" s="320"/>
      <c r="AG34" s="319"/>
      <c r="AH34" s="382"/>
      <c r="AI34" s="1403"/>
      <c r="AJ34" s="1404"/>
      <c r="AK34" s="1404"/>
      <c r="AL34" s="1404"/>
      <c r="AM34" s="1404"/>
      <c r="AN34" s="1404"/>
      <c r="AO34" s="1404"/>
      <c r="AP34" s="1404"/>
      <c r="AQ34" s="1405"/>
      <c r="AR34" s="382"/>
      <c r="AS34" s="339"/>
      <c r="AT34" s="340"/>
      <c r="AU34" s="340"/>
      <c r="AV34" s="340"/>
      <c r="AW34" s="340"/>
      <c r="AX34" s="340"/>
      <c r="AY34" s="340"/>
      <c r="AZ34" s="340"/>
      <c r="BA34" s="340"/>
      <c r="BB34" s="340"/>
      <c r="BC34" s="340"/>
      <c r="BD34" s="340"/>
      <c r="BE34" s="340"/>
      <c r="BF34" s="340"/>
      <c r="BG34" s="340"/>
      <c r="BH34" s="340"/>
      <c r="BI34" s="340"/>
      <c r="BJ34" s="340"/>
      <c r="BK34" s="340"/>
      <c r="BL34" s="341"/>
    </row>
    <row r="35" spans="1:64">
      <c r="A35" s="1385"/>
      <c r="B35" s="1386"/>
      <c r="C35" s="1387"/>
      <c r="D35" s="1385"/>
      <c r="E35" s="1386"/>
      <c r="F35" s="1386"/>
      <c r="G35" s="1386"/>
      <c r="H35" s="1386"/>
      <c r="I35" s="1387"/>
      <c r="J35" s="381"/>
      <c r="K35" s="382"/>
      <c r="L35" s="381"/>
      <c r="M35" s="324"/>
      <c r="N35" s="325"/>
      <c r="O35" s="325"/>
      <c r="P35" s="325"/>
      <c r="Q35" s="326"/>
      <c r="R35" s="382"/>
      <c r="S35" s="317"/>
      <c r="T35" s="320"/>
      <c r="U35" s="320"/>
      <c r="V35" s="320"/>
      <c r="W35" s="320"/>
      <c r="X35" s="320"/>
      <c r="Y35" s="319"/>
      <c r="Z35" s="1406"/>
      <c r="AA35" s="320"/>
      <c r="AB35" s="322"/>
      <c r="AC35" s="322"/>
      <c r="AD35" s="322"/>
      <c r="AE35" s="322"/>
      <c r="AF35" s="322"/>
      <c r="AG35" s="323"/>
      <c r="AH35" s="1406"/>
      <c r="AI35" s="1388"/>
      <c r="AJ35" s="1389"/>
      <c r="AK35" s="1389"/>
      <c r="AL35" s="1389"/>
      <c r="AM35" s="1389"/>
      <c r="AN35" s="1389"/>
      <c r="AO35" s="1389"/>
      <c r="AP35" s="1389"/>
      <c r="AQ35" s="1390"/>
      <c r="AR35" s="1406"/>
      <c r="AS35" s="422"/>
      <c r="AT35" s="423"/>
      <c r="AU35" s="423"/>
      <c r="AV35" s="423"/>
      <c r="AW35" s="423"/>
      <c r="AX35" s="423"/>
      <c r="AY35" s="423"/>
      <c r="AZ35" s="423"/>
      <c r="BA35" s="423"/>
      <c r="BB35" s="423"/>
      <c r="BC35" s="423"/>
      <c r="BD35" s="423"/>
      <c r="BE35" s="423"/>
      <c r="BF35" s="423"/>
      <c r="BG35" s="423"/>
      <c r="BH35" s="423"/>
      <c r="BI35" s="423"/>
      <c r="BJ35" s="423"/>
      <c r="BK35" s="423"/>
      <c r="BL35" s="424"/>
    </row>
    <row r="36" spans="1:64" ht="15.75">
      <c r="A36" s="355">
        <f>AI29</f>
        <v>6686400</v>
      </c>
      <c r="B36" s="356"/>
      <c r="C36" s="356"/>
      <c r="D36" s="356"/>
      <c r="E36" s="356"/>
      <c r="F36" s="356"/>
      <c r="G36" s="356"/>
      <c r="H36" s="356"/>
      <c r="I36" s="356"/>
      <c r="J36" s="356"/>
      <c r="K36" s="356"/>
      <c r="L36" s="356"/>
      <c r="M36" s="357"/>
      <c r="N36" s="32"/>
      <c r="O36" s="32"/>
      <c r="P36" s="32"/>
      <c r="Q36" s="32"/>
      <c r="R36" s="32"/>
      <c r="S36" s="349"/>
      <c r="T36" s="349"/>
      <c r="U36" s="349"/>
      <c r="V36" s="349"/>
      <c r="W36" s="349"/>
      <c r="X36" s="349"/>
      <c r="Y36" s="349"/>
      <c r="Z36" s="32"/>
      <c r="AA36" s="33"/>
      <c r="AB36" s="1" t="s">
        <v>59</v>
      </c>
      <c r="AC36" s="2"/>
      <c r="AD36" s="2"/>
      <c r="AE36" s="2"/>
      <c r="AF36" s="2"/>
      <c r="AG36" s="2"/>
      <c r="AH36" s="2"/>
      <c r="AI36" s="361"/>
      <c r="AJ36" s="361"/>
      <c r="AK36" s="361"/>
      <c r="AL36" s="361"/>
      <c r="AM36" s="361"/>
      <c r="AN36" s="361"/>
      <c r="AO36" s="361"/>
      <c r="AP36" s="361"/>
      <c r="AQ36" s="361"/>
      <c r="AR36" s="2"/>
      <c r="AS36" s="2"/>
      <c r="AT36" s="2"/>
      <c r="AU36" s="2"/>
      <c r="AV36" s="2"/>
      <c r="AW36" s="2"/>
      <c r="AX36" s="2"/>
      <c r="AY36" s="2"/>
      <c r="AZ36" s="2"/>
      <c r="BA36" s="2"/>
      <c r="BB36" s="2"/>
      <c r="BC36" s="2"/>
      <c r="BD36" s="2"/>
      <c r="BE36" s="2"/>
      <c r="BF36" s="2"/>
      <c r="BG36" s="2"/>
      <c r="BH36" s="2"/>
      <c r="BI36" s="2"/>
      <c r="BJ36" s="2"/>
      <c r="BK36" s="2"/>
      <c r="BL36" s="3"/>
    </row>
    <row r="37" spans="1:64" ht="7.5" customHeight="1">
      <c r="A37" s="358"/>
      <c r="B37" s="359"/>
      <c r="C37" s="359"/>
      <c r="D37" s="359"/>
      <c r="E37" s="359"/>
      <c r="F37" s="359"/>
      <c r="G37" s="359"/>
      <c r="H37" s="359"/>
      <c r="I37" s="359"/>
      <c r="J37" s="359"/>
      <c r="K37" s="359"/>
      <c r="L37" s="359"/>
      <c r="M37" s="360"/>
      <c r="N37" s="34"/>
      <c r="O37" s="34"/>
      <c r="P37" s="34"/>
      <c r="Q37" s="34"/>
      <c r="R37" s="34"/>
      <c r="S37" s="34"/>
      <c r="T37" s="34"/>
      <c r="U37" s="34"/>
      <c r="V37" s="34"/>
      <c r="W37" s="34"/>
      <c r="X37" s="34"/>
      <c r="Y37" s="34"/>
      <c r="Z37" s="34"/>
      <c r="AA37" s="35"/>
      <c r="AB37" s="36"/>
      <c r="AC37" s="8"/>
      <c r="AD37" s="8"/>
      <c r="AE37" s="8"/>
      <c r="AF37" s="8"/>
      <c r="AG37" s="8"/>
      <c r="AH37" s="8"/>
      <c r="AI37" s="284"/>
      <c r="AJ37" s="284"/>
      <c r="AK37" s="284"/>
      <c r="AL37" s="284"/>
      <c r="AM37" s="284"/>
      <c r="AN37" s="284"/>
      <c r="AO37" s="284"/>
      <c r="AP37" s="284"/>
      <c r="AQ37" s="284"/>
      <c r="AR37" s="8"/>
      <c r="AS37" s="8"/>
      <c r="AT37" s="8"/>
      <c r="AU37" s="8"/>
      <c r="AV37" s="8"/>
      <c r="AW37" s="8"/>
      <c r="AX37" s="8"/>
      <c r="AY37" s="8"/>
      <c r="AZ37" s="8"/>
      <c r="BA37" s="8"/>
      <c r="BB37" s="8"/>
      <c r="BC37" s="8"/>
      <c r="BD37" s="8"/>
      <c r="BE37" s="8"/>
      <c r="BF37" s="8"/>
      <c r="BG37" s="8"/>
      <c r="BH37" s="8"/>
      <c r="BI37" s="8"/>
      <c r="BJ37" s="8"/>
      <c r="BK37" s="8"/>
      <c r="BL37" s="9"/>
    </row>
    <row r="38" spans="1:64" ht="15.75">
      <c r="A38" s="37"/>
      <c r="B38" s="32"/>
      <c r="C38" s="32"/>
      <c r="D38" s="32"/>
      <c r="E38" s="32"/>
      <c r="F38" s="32"/>
      <c r="G38" s="32"/>
      <c r="H38" s="32"/>
      <c r="I38" s="32"/>
      <c r="J38" s="32"/>
      <c r="K38" s="32"/>
      <c r="L38" s="32"/>
      <c r="M38" s="33"/>
      <c r="N38" s="38"/>
      <c r="O38" s="38"/>
      <c r="P38" s="38"/>
      <c r="Q38" s="38"/>
      <c r="R38" s="38"/>
      <c r="S38" s="38"/>
      <c r="T38" s="38"/>
      <c r="U38" s="38"/>
      <c r="V38" s="38"/>
      <c r="W38" s="38"/>
      <c r="X38" s="38"/>
      <c r="Y38" s="38"/>
      <c r="Z38" s="38"/>
      <c r="AA38" s="39"/>
      <c r="AB38" s="362"/>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row>
    <row r="39" spans="1:64" ht="7.5" customHeight="1">
      <c r="A39" s="40"/>
      <c r="B39" s="34"/>
      <c r="C39" s="34"/>
      <c r="D39" s="34"/>
      <c r="E39" s="34"/>
      <c r="F39" s="34"/>
      <c r="G39" s="34"/>
      <c r="H39" s="34"/>
      <c r="I39" s="34"/>
      <c r="J39" s="34"/>
      <c r="K39" s="34"/>
      <c r="L39" s="34"/>
      <c r="M39" s="35"/>
      <c r="N39" s="34"/>
      <c r="O39" s="34"/>
      <c r="P39" s="34"/>
      <c r="Q39" s="34"/>
      <c r="R39" s="34"/>
      <c r="S39" s="34"/>
      <c r="T39" s="34"/>
      <c r="U39" s="34"/>
      <c r="V39" s="34"/>
      <c r="W39" s="34"/>
      <c r="X39" s="34"/>
      <c r="Y39" s="34"/>
      <c r="Z39" s="34"/>
      <c r="AA39" s="35"/>
      <c r="AB39" s="362"/>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row>
    <row r="40" spans="1:64" ht="15.75">
      <c r="A40" s="37"/>
      <c r="B40" s="32"/>
      <c r="C40" s="32"/>
      <c r="D40" s="32"/>
      <c r="E40" s="41"/>
      <c r="F40" s="41"/>
      <c r="G40" s="41"/>
      <c r="H40" s="41"/>
      <c r="I40" s="41"/>
      <c r="J40" s="41"/>
      <c r="K40" s="41"/>
      <c r="L40" s="41"/>
      <c r="M40" s="42"/>
      <c r="N40" s="43"/>
      <c r="O40" s="43"/>
      <c r="P40" s="43"/>
      <c r="Q40" s="43"/>
      <c r="R40" s="43"/>
      <c r="S40" s="43"/>
      <c r="T40" s="43"/>
      <c r="U40" s="43"/>
      <c r="V40" s="43"/>
      <c r="W40" s="43"/>
      <c r="X40" s="38"/>
      <c r="Y40" s="38"/>
      <c r="Z40" s="38"/>
      <c r="AA40" s="39"/>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row>
    <row r="41" spans="1:64" ht="7.5" customHeight="1">
      <c r="A41" s="40"/>
      <c r="B41" s="34"/>
      <c r="C41" s="34"/>
      <c r="D41" s="34"/>
      <c r="E41" s="34"/>
      <c r="F41" s="34"/>
      <c r="G41" s="34"/>
      <c r="H41" s="34"/>
      <c r="I41" s="34"/>
      <c r="J41" s="34"/>
      <c r="K41" s="34"/>
      <c r="L41" s="34"/>
      <c r="M41" s="35"/>
      <c r="N41" s="34"/>
      <c r="O41" s="34"/>
      <c r="P41" s="34"/>
      <c r="Q41" s="34"/>
      <c r="R41" s="34"/>
      <c r="S41" s="34"/>
      <c r="T41" s="34"/>
      <c r="U41" s="34"/>
      <c r="V41" s="34"/>
      <c r="W41" s="34"/>
      <c r="X41" s="34"/>
      <c r="Y41" s="34"/>
      <c r="Z41" s="34"/>
      <c r="AA41" s="35"/>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row>
    <row r="42" spans="1:64" ht="15" customHeight="1">
      <c r="A42" s="37"/>
      <c r="B42" s="32"/>
      <c r="C42" s="32"/>
      <c r="D42" s="32"/>
      <c r="E42" s="32"/>
      <c r="F42" s="32"/>
      <c r="G42" s="32"/>
      <c r="H42" s="32"/>
      <c r="I42" s="32"/>
      <c r="J42" s="32"/>
      <c r="K42" s="32"/>
      <c r="L42" s="32"/>
      <c r="M42" s="33"/>
      <c r="N42" s="32"/>
      <c r="O42" s="32"/>
      <c r="P42" s="32"/>
      <c r="Q42" s="32"/>
      <c r="R42" s="32"/>
      <c r="S42" s="32"/>
      <c r="T42" s="32"/>
      <c r="U42" s="32"/>
      <c r="V42" s="32"/>
      <c r="W42" s="32"/>
      <c r="X42" s="32"/>
      <c r="Y42" s="32"/>
      <c r="Z42" s="32"/>
      <c r="AA42" s="33"/>
      <c r="AB42" s="364" t="s">
        <v>60</v>
      </c>
      <c r="AC42" s="365"/>
      <c r="AD42" s="365"/>
      <c r="AE42" s="365"/>
      <c r="AF42" s="365"/>
      <c r="AG42" s="365"/>
      <c r="AH42" s="365"/>
      <c r="AI42" s="365"/>
      <c r="AJ42" s="365"/>
      <c r="AK42" s="365"/>
      <c r="AL42" s="365"/>
      <c r="AM42" s="365"/>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5"/>
      <c r="BK42" s="365"/>
      <c r="BL42" s="366"/>
    </row>
    <row r="43" spans="1:64" ht="7.5" customHeight="1">
      <c r="A43" s="40"/>
      <c r="B43" s="34"/>
      <c r="C43" s="34"/>
      <c r="D43" s="34"/>
      <c r="E43" s="34"/>
      <c r="F43" s="34"/>
      <c r="G43" s="34"/>
      <c r="H43" s="34"/>
      <c r="I43" s="34"/>
      <c r="J43" s="34"/>
      <c r="K43" s="34"/>
      <c r="L43" s="34"/>
      <c r="M43" s="35"/>
      <c r="N43" s="34"/>
      <c r="O43" s="34"/>
      <c r="P43" s="34"/>
      <c r="Q43" s="34"/>
      <c r="R43" s="34"/>
      <c r="S43" s="34"/>
      <c r="T43" s="34"/>
      <c r="U43" s="34"/>
      <c r="V43" s="34"/>
      <c r="W43" s="34"/>
      <c r="X43" s="34"/>
      <c r="Y43" s="34"/>
      <c r="Z43" s="34"/>
      <c r="AA43" s="35"/>
      <c r="AB43" s="367"/>
      <c r="AC43" s="368"/>
      <c r="AD43" s="368"/>
      <c r="AE43" s="368"/>
      <c r="AF43" s="368"/>
      <c r="AG43" s="368"/>
      <c r="AH43" s="368"/>
      <c r="AI43" s="368"/>
      <c r="AJ43" s="368"/>
      <c r="AK43" s="368"/>
      <c r="AL43" s="368"/>
      <c r="AM43" s="368"/>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8"/>
      <c r="BK43" s="368"/>
      <c r="BL43" s="369"/>
    </row>
    <row r="44" spans="1:64" ht="15.75">
      <c r="A44" s="389">
        <f>'1'!A46</f>
        <v>1052092</v>
      </c>
      <c r="B44" s="390"/>
      <c r="C44" s="390"/>
      <c r="D44" s="390"/>
      <c r="E44" s="390"/>
      <c r="F44" s="390"/>
      <c r="G44" s="390"/>
      <c r="H44" s="390"/>
      <c r="I44" s="390"/>
      <c r="J44" s="390"/>
      <c r="K44" s="390"/>
      <c r="L44" s="390"/>
      <c r="M44" s="391"/>
      <c r="N44" s="32"/>
      <c r="O44" s="32"/>
      <c r="P44" s="32"/>
      <c r="Q44" s="32"/>
      <c r="R44" s="32"/>
      <c r="S44" s="32"/>
      <c r="T44" s="32"/>
      <c r="U44" s="32"/>
      <c r="V44" s="32"/>
      <c r="W44" s="32"/>
      <c r="X44" s="32"/>
      <c r="Y44" s="32"/>
      <c r="Z44" s="32"/>
      <c r="AA44" s="33"/>
      <c r="AB44" s="395" t="str">
        <f>A3</f>
        <v>PT. NUR INFINIT INDOALEA GLOBAL</v>
      </c>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396"/>
      <c r="BF44" s="396"/>
      <c r="BG44" s="396"/>
      <c r="BH44" s="396"/>
      <c r="BI44" s="396"/>
      <c r="BJ44" s="396"/>
      <c r="BK44" s="396"/>
      <c r="BL44" s="397"/>
    </row>
    <row r="45" spans="1:64" ht="7.5" customHeight="1">
      <c r="A45" s="392"/>
      <c r="B45" s="393"/>
      <c r="C45" s="393"/>
      <c r="D45" s="393"/>
      <c r="E45" s="393"/>
      <c r="F45" s="393"/>
      <c r="G45" s="393"/>
      <c r="H45" s="393"/>
      <c r="I45" s="393"/>
      <c r="J45" s="393"/>
      <c r="K45" s="393"/>
      <c r="L45" s="393"/>
      <c r="M45" s="394"/>
      <c r="N45" s="34"/>
      <c r="O45" s="34"/>
      <c r="P45" s="34"/>
      <c r="Q45" s="34"/>
      <c r="R45" s="34"/>
      <c r="S45" s="34"/>
      <c r="T45" s="34"/>
      <c r="U45" s="34"/>
      <c r="V45" s="34"/>
      <c r="W45" s="34"/>
      <c r="X45" s="34"/>
      <c r="Y45" s="34"/>
      <c r="Z45" s="34"/>
      <c r="AA45" s="35"/>
      <c r="AB45" s="398"/>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399"/>
      <c r="BK45" s="399"/>
      <c r="BL45" s="400"/>
    </row>
    <row r="46" spans="1:64" ht="15.75">
      <c r="A46" s="44"/>
      <c r="B46" s="45"/>
      <c r="C46" s="45"/>
      <c r="D46" s="45"/>
      <c r="E46" s="46"/>
      <c r="F46" s="46"/>
      <c r="G46" s="46"/>
      <c r="H46" s="46"/>
      <c r="I46" s="46"/>
      <c r="J46" s="46"/>
      <c r="K46" s="46"/>
      <c r="L46" s="46"/>
      <c r="M46" s="47"/>
      <c r="N46" s="48"/>
      <c r="O46" s="46"/>
      <c r="P46" s="46"/>
      <c r="Q46" s="46"/>
      <c r="R46" s="46"/>
      <c r="S46" s="46"/>
      <c r="T46" s="46"/>
      <c r="U46" s="46"/>
      <c r="V46" s="46"/>
      <c r="W46" s="46"/>
      <c r="X46" s="45"/>
      <c r="Y46" s="45"/>
      <c r="Z46" s="45"/>
      <c r="AA46" s="45"/>
      <c r="AB46" s="350" t="s">
        <v>61</v>
      </c>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2"/>
    </row>
    <row r="47" spans="1:64" ht="7.5" customHeight="1">
      <c r="A47" s="49"/>
      <c r="B47" s="50"/>
      <c r="C47" s="50"/>
      <c r="D47" s="50"/>
      <c r="E47" s="50"/>
      <c r="F47" s="50"/>
      <c r="G47" s="50"/>
      <c r="H47" s="50"/>
      <c r="I47" s="50"/>
      <c r="J47" s="50"/>
      <c r="K47" s="50"/>
      <c r="L47" s="50"/>
      <c r="M47" s="51"/>
      <c r="N47" s="49"/>
      <c r="O47" s="50"/>
      <c r="P47" s="50"/>
      <c r="Q47" s="50"/>
      <c r="R47" s="50"/>
      <c r="S47" s="50"/>
      <c r="T47" s="50"/>
      <c r="U47" s="50"/>
      <c r="V47" s="50"/>
      <c r="W47" s="50"/>
      <c r="X47" s="50"/>
      <c r="Y47" s="50"/>
      <c r="Z47" s="50"/>
      <c r="AA47" s="50"/>
      <c r="AB47" s="37"/>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3"/>
    </row>
    <row r="48" spans="1:64" ht="15.75">
      <c r="A48" s="355">
        <f>A36+A44</f>
        <v>7738492</v>
      </c>
      <c r="B48" s="401"/>
      <c r="C48" s="401"/>
      <c r="D48" s="401"/>
      <c r="E48" s="401"/>
      <c r="F48" s="401"/>
      <c r="G48" s="401"/>
      <c r="H48" s="401"/>
      <c r="I48" s="401"/>
      <c r="J48" s="401"/>
      <c r="K48" s="401"/>
      <c r="L48" s="401"/>
      <c r="M48" s="402"/>
      <c r="N48" s="37"/>
      <c r="O48" s="349"/>
      <c r="P48" s="349"/>
      <c r="Q48" s="349"/>
      <c r="R48" s="349"/>
      <c r="S48" s="349"/>
      <c r="T48" s="349"/>
      <c r="U48" s="349"/>
      <c r="V48" s="349"/>
      <c r="W48" s="349"/>
      <c r="X48" s="349"/>
      <c r="Y48" s="349"/>
      <c r="Z48" s="349"/>
      <c r="AA48" s="32"/>
      <c r="AB48" s="52"/>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9"/>
    </row>
    <row r="49" spans="1:64" ht="7.5" customHeight="1">
      <c r="A49" s="403"/>
      <c r="B49" s="404"/>
      <c r="C49" s="404"/>
      <c r="D49" s="404"/>
      <c r="E49" s="404"/>
      <c r="F49" s="404"/>
      <c r="G49" s="404"/>
      <c r="H49" s="404"/>
      <c r="I49" s="404"/>
      <c r="J49" s="404"/>
      <c r="K49" s="404"/>
      <c r="L49" s="404"/>
      <c r="M49" s="405"/>
      <c r="N49" s="40"/>
      <c r="O49" s="34"/>
      <c r="P49" s="34"/>
      <c r="Q49" s="34"/>
      <c r="R49" s="34"/>
      <c r="S49" s="34"/>
      <c r="T49" s="34"/>
      <c r="U49" s="34"/>
      <c r="V49" s="34"/>
      <c r="W49" s="34"/>
      <c r="X49" s="34"/>
      <c r="Y49" s="34"/>
      <c r="Z49" s="34"/>
      <c r="AA49" s="34"/>
      <c r="AB49" s="52"/>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9"/>
    </row>
    <row r="50" spans="1:64" ht="15.75">
      <c r="A50" s="37"/>
      <c r="B50" s="349"/>
      <c r="C50" s="349"/>
      <c r="D50" s="349"/>
      <c r="E50" s="349"/>
      <c r="F50" s="349"/>
      <c r="G50" s="349"/>
      <c r="H50" s="349"/>
      <c r="I50" s="349"/>
      <c r="J50" s="349"/>
      <c r="K50" s="349"/>
      <c r="L50" s="349"/>
      <c r="M50" s="33"/>
      <c r="N50" s="37"/>
      <c r="O50" s="349"/>
      <c r="P50" s="349"/>
      <c r="Q50" s="349"/>
      <c r="R50" s="349"/>
      <c r="S50" s="349"/>
      <c r="T50" s="349"/>
      <c r="U50" s="349"/>
      <c r="V50" s="349"/>
      <c r="W50" s="349"/>
      <c r="X50" s="349"/>
      <c r="Y50" s="349"/>
      <c r="Z50" s="349"/>
      <c r="AA50" s="32"/>
      <c r="AB50" s="58"/>
      <c r="AC50" s="353">
        <f>'1'!AC52</f>
        <v>46171</v>
      </c>
      <c r="AD50" s="354"/>
      <c r="AE50" s="354"/>
      <c r="AF50" s="354"/>
      <c r="AG50" s="354"/>
      <c r="AH50" s="354"/>
      <c r="AI50" s="354"/>
      <c r="AJ50" s="354"/>
      <c r="AK50" s="354"/>
      <c r="AL50" s="55"/>
      <c r="AM50" s="55"/>
      <c r="AN50" s="55"/>
      <c r="AO50" s="354" t="str">
        <f>'1'!AO52</f>
        <v>CGK</v>
      </c>
      <c r="AP50" s="354"/>
      <c r="AQ50" s="354"/>
      <c r="AR50" s="354"/>
      <c r="AS50" s="55"/>
      <c r="AT50" s="55"/>
      <c r="AU50" s="55"/>
      <c r="AV50" s="55"/>
      <c r="AW50" s="55"/>
      <c r="AX50" s="55"/>
      <c r="AY50" s="55"/>
      <c r="AZ50" s="55"/>
      <c r="BA50" s="55"/>
      <c r="BB50" s="55"/>
      <c r="BC50" s="55"/>
      <c r="BD50" s="55"/>
      <c r="BE50" s="55"/>
      <c r="BF50" s="55"/>
      <c r="BG50" s="55"/>
      <c r="BH50" s="55"/>
      <c r="BI50" s="55"/>
      <c r="BJ50" s="55"/>
      <c r="BK50" s="55"/>
      <c r="BL50" s="56"/>
    </row>
    <row r="51" spans="1:64" ht="7.5" customHeight="1">
      <c r="A51" s="40"/>
      <c r="B51" s="34"/>
      <c r="C51" s="34"/>
      <c r="D51" s="34"/>
      <c r="E51" s="34"/>
      <c r="F51" s="34"/>
      <c r="G51" s="34"/>
      <c r="H51" s="34"/>
      <c r="I51" s="34"/>
      <c r="J51" s="34"/>
      <c r="K51" s="34"/>
      <c r="L51" s="34"/>
      <c r="M51" s="35"/>
      <c r="N51" s="40"/>
      <c r="O51" s="34"/>
      <c r="P51" s="34"/>
      <c r="Q51" s="34"/>
      <c r="R51" s="34"/>
      <c r="S51" s="34"/>
      <c r="T51" s="34"/>
      <c r="U51" s="34"/>
      <c r="V51" s="34"/>
      <c r="W51" s="34"/>
      <c r="X51" s="34"/>
      <c r="Y51" s="34"/>
      <c r="Z51" s="34"/>
      <c r="AA51" s="34"/>
      <c r="AB51" s="374" t="s">
        <v>62</v>
      </c>
      <c r="AC51" s="375"/>
      <c r="AD51" s="375"/>
      <c r="AE51" s="375"/>
      <c r="AF51" s="375"/>
      <c r="AG51" s="375"/>
      <c r="AH51" s="30"/>
      <c r="AI51" s="30"/>
      <c r="AJ51" s="375" t="s">
        <v>63</v>
      </c>
      <c r="AK51" s="375"/>
      <c r="AL51" s="375"/>
      <c r="AM51" s="30"/>
      <c r="AN51" s="30"/>
      <c r="AO51" s="30"/>
      <c r="AP51" s="375" t="s">
        <v>64</v>
      </c>
      <c r="AQ51" s="375"/>
      <c r="AR51" s="30"/>
      <c r="AS51" s="30"/>
      <c r="AT51" s="30"/>
      <c r="AU51" s="375" t="s">
        <v>65</v>
      </c>
      <c r="AV51" s="375"/>
      <c r="AW51" s="375"/>
      <c r="AX51" s="375"/>
      <c r="AY51" s="375"/>
      <c r="AZ51" s="30"/>
      <c r="BA51" s="375" t="s">
        <v>66</v>
      </c>
      <c r="BB51" s="375"/>
      <c r="BC51" s="375"/>
      <c r="BD51" s="375"/>
      <c r="BE51" s="375"/>
      <c r="BF51" s="375"/>
      <c r="BG51" s="375"/>
      <c r="BH51" s="375"/>
      <c r="BI51" s="375"/>
      <c r="BJ51" s="375"/>
      <c r="BK51" s="375"/>
      <c r="BL51" s="376"/>
    </row>
    <row r="52" spans="1:64" ht="15.75">
      <c r="A52" s="279" t="s">
        <v>67</v>
      </c>
      <c r="B52" s="277"/>
      <c r="C52" s="277"/>
      <c r="D52" s="277"/>
      <c r="E52" s="277"/>
      <c r="F52" s="277"/>
      <c r="G52" s="277"/>
      <c r="H52" s="277"/>
      <c r="I52" s="277"/>
      <c r="J52" s="277"/>
      <c r="K52" s="277"/>
      <c r="L52" s="277"/>
      <c r="M52" s="278"/>
      <c r="N52" s="37"/>
      <c r="O52" s="349"/>
      <c r="P52" s="349"/>
      <c r="Q52" s="349"/>
      <c r="R52" s="349"/>
      <c r="S52" s="349"/>
      <c r="T52" s="349"/>
      <c r="U52" s="349"/>
      <c r="V52" s="349"/>
      <c r="W52" s="349"/>
      <c r="X52" s="349"/>
      <c r="Y52" s="349"/>
      <c r="Z52" s="349"/>
      <c r="AA52" s="32"/>
      <c r="AB52" s="52"/>
      <c r="AC52" s="377"/>
      <c r="AD52" s="377"/>
      <c r="AE52" s="377"/>
      <c r="AF52" s="377"/>
      <c r="AG52" s="377"/>
      <c r="AH52" s="377"/>
      <c r="AI52" s="377"/>
      <c r="AJ52" s="377"/>
      <c r="AK52" s="377"/>
      <c r="AL52" s="377"/>
      <c r="AM52" s="377"/>
      <c r="AN52" s="39"/>
      <c r="AO52" s="385" t="str">
        <f>AT1</f>
        <v>126-91929552</v>
      </c>
      <c r="AP52" s="386"/>
      <c r="AQ52" s="386"/>
      <c r="AR52" s="386"/>
      <c r="AS52" s="386"/>
      <c r="AT52" s="386"/>
      <c r="AU52" s="386"/>
      <c r="AV52" s="386"/>
      <c r="AW52" s="386"/>
      <c r="AX52" s="386"/>
      <c r="AY52" s="386"/>
      <c r="AZ52" s="386"/>
      <c r="BA52" s="386"/>
      <c r="BB52" s="386"/>
      <c r="BC52" s="386"/>
      <c r="BD52" s="386"/>
      <c r="BE52" s="386"/>
      <c r="BF52" s="386"/>
      <c r="BG52" s="386"/>
      <c r="BH52" s="386"/>
      <c r="BI52" s="386"/>
      <c r="BJ52" s="386"/>
      <c r="BK52" s="386"/>
      <c r="BL52" s="386"/>
    </row>
    <row r="53" spans="1:64" ht="7.5" customHeight="1">
      <c r="A53" s="374"/>
      <c r="B53" s="375"/>
      <c r="C53" s="375"/>
      <c r="D53" s="375"/>
      <c r="E53" s="375"/>
      <c r="F53" s="375"/>
      <c r="G53" s="375"/>
      <c r="H53" s="375"/>
      <c r="I53" s="375"/>
      <c r="J53" s="375"/>
      <c r="K53" s="375"/>
      <c r="L53" s="375"/>
      <c r="M53" s="376"/>
      <c r="N53" s="40"/>
      <c r="O53" s="34"/>
      <c r="P53" s="34"/>
      <c r="Q53" s="34"/>
      <c r="R53" s="34"/>
      <c r="S53" s="34"/>
      <c r="T53" s="34"/>
      <c r="U53" s="34"/>
      <c r="V53" s="34"/>
      <c r="W53" s="34"/>
      <c r="X53" s="34"/>
      <c r="Y53" s="34"/>
      <c r="Z53" s="34"/>
      <c r="AA53" s="34"/>
      <c r="AB53" s="40"/>
      <c r="AC53" s="34"/>
      <c r="AD53" s="34"/>
      <c r="AE53" s="34"/>
      <c r="AF53" s="34"/>
      <c r="AG53" s="34"/>
      <c r="AH53" s="34"/>
      <c r="AI53" s="34"/>
      <c r="AJ53" s="34"/>
      <c r="AK53" s="34"/>
      <c r="AL53" s="34"/>
      <c r="AM53" s="34"/>
      <c r="AN53" s="35"/>
      <c r="AO53" s="387"/>
      <c r="AP53" s="388"/>
      <c r="AQ53" s="388"/>
      <c r="AR53" s="388"/>
      <c r="AS53" s="388"/>
      <c r="AT53" s="388"/>
      <c r="AU53" s="388"/>
      <c r="AV53" s="388"/>
      <c r="AW53" s="388"/>
      <c r="AX53" s="388"/>
      <c r="AY53" s="388"/>
      <c r="AZ53" s="388"/>
      <c r="BA53" s="388"/>
      <c r="BB53" s="388"/>
      <c r="BC53" s="388"/>
      <c r="BD53" s="388"/>
      <c r="BE53" s="388"/>
      <c r="BF53" s="388"/>
      <c r="BG53" s="388"/>
      <c r="BH53" s="388"/>
      <c r="BI53" s="388"/>
      <c r="BJ53" s="388"/>
      <c r="BK53" s="388"/>
      <c r="BL53" s="388"/>
    </row>
    <row r="54" spans="1:64" ht="15.75">
      <c r="A54" s="378" t="s">
        <v>80</v>
      </c>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8"/>
      <c r="BK54" s="378"/>
      <c r="BL54" s="378"/>
    </row>
  </sheetData>
  <mergeCells count="98">
    <mergeCell ref="AH13:BL19"/>
    <mergeCell ref="A14:AG15"/>
    <mergeCell ref="A16:P17"/>
    <mergeCell ref="Q16:AG17"/>
    <mergeCell ref="A4:AG6"/>
    <mergeCell ref="AH7:BL12"/>
    <mergeCell ref="A9:AG12"/>
    <mergeCell ref="AN2:BL5"/>
    <mergeCell ref="A7:S7"/>
    <mergeCell ref="T7:AG7"/>
    <mergeCell ref="A13:AG13"/>
    <mergeCell ref="A18:AG18"/>
    <mergeCell ref="A19:AG19"/>
    <mergeCell ref="A20:C21"/>
    <mergeCell ref="V20:X21"/>
    <mergeCell ref="Y20:AA21"/>
    <mergeCell ref="AB20:AD21"/>
    <mergeCell ref="AE20:AG21"/>
    <mergeCell ref="O52:Z52"/>
    <mergeCell ref="AC52:AM52"/>
    <mergeCell ref="A54:BL54"/>
    <mergeCell ref="J27:J28"/>
    <mergeCell ref="J29:J35"/>
    <mergeCell ref="K27:K35"/>
    <mergeCell ref="L29:L35"/>
    <mergeCell ref="R27:R35"/>
    <mergeCell ref="Z27:Z35"/>
    <mergeCell ref="AH27:AH35"/>
    <mergeCell ref="AR27:AR35"/>
    <mergeCell ref="A52:M53"/>
    <mergeCell ref="AO52:BL53"/>
    <mergeCell ref="A44:M45"/>
    <mergeCell ref="AB44:BL45"/>
    <mergeCell ref="A48:M49"/>
    <mergeCell ref="AB51:AG51"/>
    <mergeCell ref="AJ51:AL51"/>
    <mergeCell ref="AP51:AQ51"/>
    <mergeCell ref="AU51:AY51"/>
    <mergeCell ref="BA51:BL51"/>
    <mergeCell ref="AI27:AQ28"/>
    <mergeCell ref="AB46:BL46"/>
    <mergeCell ref="O48:Z48"/>
    <mergeCell ref="B50:L50"/>
    <mergeCell ref="O50:Z50"/>
    <mergeCell ref="AC50:AK50"/>
    <mergeCell ref="AO50:AR50"/>
    <mergeCell ref="AB38:BL39"/>
    <mergeCell ref="AB40:BL41"/>
    <mergeCell ref="AB42:BL43"/>
    <mergeCell ref="A29:C34"/>
    <mergeCell ref="D29:I34"/>
    <mergeCell ref="M29:Q35"/>
    <mergeCell ref="AA29:AG35"/>
    <mergeCell ref="AI29:AQ34"/>
    <mergeCell ref="AS29:BL35"/>
    <mergeCell ref="A35:C35"/>
    <mergeCell ref="D35:I35"/>
    <mergeCell ref="AI35:AQ35"/>
    <mergeCell ref="S36:Y36"/>
    <mergeCell ref="A36:M37"/>
    <mergeCell ref="AI36:AQ37"/>
    <mergeCell ref="S29:Y35"/>
    <mergeCell ref="A23:Q23"/>
    <mergeCell ref="Z23:AG23"/>
    <mergeCell ref="AH23:AQ23"/>
    <mergeCell ref="A24:BL24"/>
    <mergeCell ref="L27:Q27"/>
    <mergeCell ref="AR22:BL23"/>
    <mergeCell ref="AS27:BL28"/>
    <mergeCell ref="A22:Q22"/>
    <mergeCell ref="R22:U22"/>
    <mergeCell ref="V22:AC22"/>
    <mergeCell ref="AD22:AG22"/>
    <mergeCell ref="AH22:AQ22"/>
    <mergeCell ref="M28:Q28"/>
    <mergeCell ref="A27:C28"/>
    <mergeCell ref="D27:I28"/>
    <mergeCell ref="S27:Y28"/>
    <mergeCell ref="BE20:BL20"/>
    <mergeCell ref="D21:U21"/>
    <mergeCell ref="AH21:AK21"/>
    <mergeCell ref="AN21:AO21"/>
    <mergeCell ref="AP21:AQ21"/>
    <mergeCell ref="AR21:AS21"/>
    <mergeCell ref="AT21:AU21"/>
    <mergeCell ref="AV21:BD21"/>
    <mergeCell ref="BE21:BL21"/>
    <mergeCell ref="AL20:AM21"/>
    <mergeCell ref="D20:U20"/>
    <mergeCell ref="AH20:AK20"/>
    <mergeCell ref="AN20:AQ20"/>
    <mergeCell ref="AR20:AU20"/>
    <mergeCell ref="AV20:BD20"/>
    <mergeCell ref="A1:C1"/>
    <mergeCell ref="D1:F1"/>
    <mergeCell ref="G1:S1"/>
    <mergeCell ref="AT1:BJ1"/>
    <mergeCell ref="AH6:BL6"/>
  </mergeCells>
  <pageMargins left="0.23958333333333301" right="0.23958333333333301" top="0" bottom="0.75" header="0" footer="0.30972222222222201"/>
  <pageSetup paperSize="9" scale="99" orientation="portrait" verticalDpi="20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L54"/>
  <sheetViews>
    <sheetView showGridLines="0" view="pageLayout" zoomScaleNormal="100" workbookViewId="0">
      <selection activeCell="AB40" sqref="AB40:BL41"/>
    </sheetView>
  </sheetViews>
  <sheetFormatPr defaultColWidth="9" defaultRowHeight="15"/>
  <cols>
    <col min="1" max="65" width="1.5703125" customWidth="1"/>
  </cols>
  <sheetData>
    <row r="1" spans="1:64" ht="22.5" customHeight="1">
      <c r="A1" s="264">
        <f>'1'!A1</f>
        <v>126</v>
      </c>
      <c r="B1" s="264"/>
      <c r="C1" s="265"/>
      <c r="D1" s="1133" t="s">
        <v>0</v>
      </c>
      <c r="E1" s="458"/>
      <c r="F1" s="1134"/>
      <c r="G1" s="269">
        <f>'1'!G1</f>
        <v>91929552</v>
      </c>
      <c r="H1" s="270"/>
      <c r="I1" s="270"/>
      <c r="J1" s="270"/>
      <c r="K1" s="270"/>
      <c r="L1" s="270"/>
      <c r="M1" s="270"/>
      <c r="N1" s="270"/>
      <c r="O1" s="270"/>
      <c r="P1" s="270"/>
      <c r="Q1" s="270"/>
      <c r="R1" s="270"/>
      <c r="S1" s="270"/>
      <c r="AT1" s="267" t="str">
        <f>'1'!AT1</f>
        <v>126-91929552</v>
      </c>
      <c r="AU1" s="267"/>
      <c r="AV1" s="267"/>
      <c r="AW1" s="267"/>
      <c r="AX1" s="267"/>
      <c r="AY1" s="267"/>
      <c r="AZ1" s="267"/>
      <c r="BA1" s="267"/>
      <c r="BB1" s="267"/>
      <c r="BC1" s="267"/>
      <c r="BD1" s="267"/>
      <c r="BE1" s="267"/>
      <c r="BF1" s="267"/>
      <c r="BG1" s="267"/>
      <c r="BH1" s="267"/>
      <c r="BI1" s="267"/>
      <c r="BJ1" s="267"/>
    </row>
    <row r="2" spans="1:64">
      <c r="A2" s="1" t="s">
        <v>1</v>
      </c>
      <c r="B2" s="2"/>
      <c r="C2" s="2"/>
      <c r="D2" s="2"/>
      <c r="E2" s="2"/>
      <c r="F2" s="2"/>
      <c r="G2" s="2"/>
      <c r="H2" s="2"/>
      <c r="I2" s="2"/>
      <c r="J2" s="2"/>
      <c r="K2" s="2"/>
      <c r="L2" s="2"/>
      <c r="M2" s="2"/>
      <c r="N2" s="2"/>
      <c r="O2" s="2"/>
      <c r="P2" s="2"/>
      <c r="Q2" s="2"/>
      <c r="R2" s="2"/>
      <c r="S2" s="2"/>
      <c r="T2" s="1" t="s">
        <v>2</v>
      </c>
      <c r="U2" s="2"/>
      <c r="V2" s="2"/>
      <c r="W2" s="2"/>
      <c r="X2" s="2"/>
      <c r="Y2" s="2"/>
      <c r="Z2" s="2"/>
      <c r="AA2" s="2"/>
      <c r="AB2" s="2"/>
      <c r="AC2" s="2"/>
      <c r="AD2" s="2"/>
      <c r="AE2" s="2"/>
      <c r="AF2" s="2"/>
      <c r="AG2" s="3"/>
      <c r="AH2" s="4" t="s">
        <v>3</v>
      </c>
      <c r="AI2" s="4"/>
      <c r="AJ2" s="4"/>
      <c r="AK2" s="4"/>
      <c r="AL2" s="4"/>
      <c r="AM2" s="4"/>
      <c r="AN2" s="449" t="str">
        <f>'1'!AN2</f>
        <v>GARUDA INDONESIA</v>
      </c>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50"/>
    </row>
    <row r="3" spans="1:64" ht="16.5">
      <c r="A3" s="5" t="str">
        <f>'1'!A3</f>
        <v>PT. NUR INFINIT INDOALEA GLOBAL</v>
      </c>
      <c r="B3" s="6"/>
      <c r="C3" s="6"/>
      <c r="D3" s="6"/>
      <c r="E3" s="6"/>
      <c r="F3" s="6"/>
      <c r="G3" s="6"/>
      <c r="H3" s="6"/>
      <c r="I3" s="6"/>
      <c r="J3" s="6"/>
      <c r="K3" s="6"/>
      <c r="L3" s="6"/>
      <c r="M3" s="6"/>
      <c r="N3" s="6"/>
      <c r="O3" s="6"/>
      <c r="P3" s="6"/>
      <c r="Q3" s="6"/>
      <c r="R3" s="6"/>
      <c r="S3" s="6"/>
      <c r="T3" s="7"/>
      <c r="U3" s="8"/>
      <c r="V3" s="8"/>
      <c r="W3" s="8"/>
      <c r="X3" s="8"/>
      <c r="Y3" s="8"/>
      <c r="Z3" s="8"/>
      <c r="AA3" s="8"/>
      <c r="AB3" s="8"/>
      <c r="AC3" s="8"/>
      <c r="AD3" s="8"/>
      <c r="AE3" s="8"/>
      <c r="AF3" s="8"/>
      <c r="AG3" s="9"/>
      <c r="AH3" s="10" t="s">
        <v>69</v>
      </c>
      <c r="AI3" s="11"/>
      <c r="AJ3" s="11"/>
      <c r="AK3" s="11"/>
      <c r="AL3" s="11"/>
      <c r="AM3" s="11"/>
      <c r="AN3" s="451"/>
      <c r="AO3" s="451"/>
      <c r="AP3" s="451"/>
      <c r="AQ3" s="451"/>
      <c r="AR3" s="451"/>
      <c r="AS3" s="451"/>
      <c r="AT3" s="451"/>
      <c r="AU3" s="451"/>
      <c r="AV3" s="451"/>
      <c r="AW3" s="451"/>
      <c r="AX3" s="451"/>
      <c r="AY3" s="451"/>
      <c r="AZ3" s="451"/>
      <c r="BA3" s="451"/>
      <c r="BB3" s="451"/>
      <c r="BC3" s="451"/>
      <c r="BD3" s="451"/>
      <c r="BE3" s="451"/>
      <c r="BF3" s="451"/>
      <c r="BG3" s="451"/>
      <c r="BH3" s="451"/>
      <c r="BI3" s="451"/>
      <c r="BJ3" s="451"/>
      <c r="BK3" s="451"/>
      <c r="BL3" s="452"/>
    </row>
    <row r="4" spans="1:64">
      <c r="A4" s="440" t="str">
        <f>'1'!A4</f>
        <v>JALAN GADING KIRANA TIMUR, A-11 / 15 DESA KELAPA GADING BARAT, KEC. KELAPA GADING, KOTA ADM. JAKARTA UTARA,PROVINSI DKI JAKARTA,14240
TLP +087835048980</v>
      </c>
      <c r="B4" s="441"/>
      <c r="C4" s="441"/>
      <c r="D4" s="441"/>
      <c r="E4" s="441"/>
      <c r="F4" s="441"/>
      <c r="G4" s="441"/>
      <c r="H4" s="441"/>
      <c r="I4" s="441"/>
      <c r="J4" s="441"/>
      <c r="K4" s="441"/>
      <c r="L4" s="441"/>
      <c r="M4" s="441"/>
      <c r="N4" s="441"/>
      <c r="O4" s="441"/>
      <c r="P4" s="441"/>
      <c r="Q4" s="441"/>
      <c r="R4" s="441"/>
      <c r="S4" s="441"/>
      <c r="T4" s="441"/>
      <c r="U4" s="441"/>
      <c r="V4" s="441"/>
      <c r="W4" s="441"/>
      <c r="X4" s="441"/>
      <c r="Y4" s="441"/>
      <c r="Z4" s="441"/>
      <c r="AA4" s="441"/>
      <c r="AB4" s="441"/>
      <c r="AC4" s="441"/>
      <c r="AD4" s="441"/>
      <c r="AE4" s="441"/>
      <c r="AF4" s="441"/>
      <c r="AG4" s="441"/>
      <c r="AH4" s="12" t="s">
        <v>8</v>
      </c>
      <c r="AI4" s="11"/>
      <c r="AJ4" s="11"/>
      <c r="AK4" s="11"/>
      <c r="AL4" s="11"/>
      <c r="AM4" s="11"/>
      <c r="AN4" s="451"/>
      <c r="AO4" s="451"/>
      <c r="AP4" s="451"/>
      <c r="AQ4" s="451"/>
      <c r="AR4" s="451"/>
      <c r="AS4" s="451"/>
      <c r="AT4" s="451"/>
      <c r="AU4" s="451"/>
      <c r="AV4" s="451"/>
      <c r="AW4" s="451"/>
      <c r="AX4" s="451"/>
      <c r="AY4" s="451"/>
      <c r="AZ4" s="451"/>
      <c r="BA4" s="451"/>
      <c r="BB4" s="451"/>
      <c r="BC4" s="451"/>
      <c r="BD4" s="451"/>
      <c r="BE4" s="451"/>
      <c r="BF4" s="451"/>
      <c r="BG4" s="451"/>
      <c r="BH4" s="451"/>
      <c r="BI4" s="451"/>
      <c r="BJ4" s="451"/>
      <c r="BK4" s="451"/>
      <c r="BL4" s="452"/>
    </row>
    <row r="5" spans="1:64">
      <c r="A5" s="442"/>
      <c r="B5" s="441"/>
      <c r="C5" s="441"/>
      <c r="D5" s="441"/>
      <c r="E5" s="441"/>
      <c r="F5" s="441"/>
      <c r="G5" s="441"/>
      <c r="H5" s="441"/>
      <c r="I5" s="441"/>
      <c r="J5" s="441"/>
      <c r="K5" s="441"/>
      <c r="L5" s="441"/>
      <c r="M5" s="441"/>
      <c r="N5" s="441"/>
      <c r="O5" s="441"/>
      <c r="P5" s="441"/>
      <c r="Q5" s="441"/>
      <c r="R5" s="441"/>
      <c r="S5" s="441"/>
      <c r="T5" s="441"/>
      <c r="U5" s="441"/>
      <c r="V5" s="441"/>
      <c r="W5" s="441"/>
      <c r="X5" s="441"/>
      <c r="Y5" s="441"/>
      <c r="Z5" s="441"/>
      <c r="AA5" s="441"/>
      <c r="AB5" s="441"/>
      <c r="AC5" s="441"/>
      <c r="AD5" s="441"/>
      <c r="AE5" s="441"/>
      <c r="AF5" s="441"/>
      <c r="AG5" s="441"/>
      <c r="AH5" s="13"/>
      <c r="AI5" s="14"/>
      <c r="AJ5" s="14"/>
      <c r="AK5" s="14"/>
      <c r="AL5" s="14"/>
      <c r="AM5" s="14"/>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4"/>
    </row>
    <row r="6" spans="1:64">
      <c r="A6" s="442"/>
      <c r="B6" s="441"/>
      <c r="C6" s="441"/>
      <c r="D6" s="441"/>
      <c r="E6" s="441"/>
      <c r="F6" s="441"/>
      <c r="G6" s="441"/>
      <c r="H6" s="441"/>
      <c r="I6" s="441"/>
      <c r="J6" s="441"/>
      <c r="K6" s="441"/>
      <c r="L6" s="441"/>
      <c r="M6" s="441"/>
      <c r="N6" s="441"/>
      <c r="O6" s="441"/>
      <c r="P6" s="441"/>
      <c r="Q6" s="441"/>
      <c r="R6" s="441"/>
      <c r="S6" s="441"/>
      <c r="T6" s="443"/>
      <c r="U6" s="443"/>
      <c r="V6" s="443"/>
      <c r="W6" s="443"/>
      <c r="X6" s="443"/>
      <c r="Y6" s="443"/>
      <c r="Z6" s="443"/>
      <c r="AA6" s="443"/>
      <c r="AB6" s="443"/>
      <c r="AC6" s="443"/>
      <c r="AD6" s="443"/>
      <c r="AE6" s="443"/>
      <c r="AF6" s="443"/>
      <c r="AG6" s="444"/>
      <c r="AH6" s="271" t="s">
        <v>9</v>
      </c>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row>
    <row r="7" spans="1:64">
      <c r="A7" s="455" t="s">
        <v>10</v>
      </c>
      <c r="B7" s="337"/>
      <c r="C7" s="337"/>
      <c r="D7" s="337"/>
      <c r="E7" s="337"/>
      <c r="F7" s="337"/>
      <c r="G7" s="337"/>
      <c r="H7" s="337"/>
      <c r="I7" s="337"/>
      <c r="J7" s="337"/>
      <c r="K7" s="337"/>
      <c r="L7" s="337"/>
      <c r="M7" s="337"/>
      <c r="N7" s="337"/>
      <c r="O7" s="337"/>
      <c r="P7" s="337"/>
      <c r="Q7" s="337"/>
      <c r="R7" s="337"/>
      <c r="S7" s="337"/>
      <c r="T7" s="455" t="s">
        <v>11</v>
      </c>
      <c r="U7" s="337"/>
      <c r="V7" s="337"/>
      <c r="W7" s="337"/>
      <c r="X7" s="337"/>
      <c r="Y7" s="337"/>
      <c r="Z7" s="337"/>
      <c r="AA7" s="337"/>
      <c r="AB7" s="337"/>
      <c r="AC7" s="337"/>
      <c r="AD7" s="337"/>
      <c r="AE7" s="337"/>
      <c r="AF7" s="337"/>
      <c r="AG7" s="338"/>
      <c r="AH7" s="445" t="s">
        <v>12</v>
      </c>
      <c r="AI7" s="446"/>
      <c r="AJ7" s="446"/>
      <c r="AK7" s="446"/>
      <c r="AL7" s="446"/>
      <c r="AM7" s="446"/>
      <c r="AN7" s="446"/>
      <c r="AO7" s="446"/>
      <c r="AP7" s="446"/>
      <c r="AQ7" s="446"/>
      <c r="AR7" s="446"/>
      <c r="AS7" s="446"/>
      <c r="AT7" s="446"/>
      <c r="AU7" s="446"/>
      <c r="AV7" s="446"/>
      <c r="AW7" s="446"/>
      <c r="AX7" s="446"/>
      <c r="AY7" s="446"/>
      <c r="AZ7" s="446"/>
      <c r="BA7" s="446"/>
      <c r="BB7" s="446"/>
      <c r="BC7" s="446"/>
      <c r="BD7" s="446"/>
      <c r="BE7" s="446"/>
      <c r="BF7" s="446"/>
      <c r="BG7" s="446"/>
      <c r="BH7" s="446"/>
      <c r="BI7" s="446"/>
      <c r="BJ7" s="446"/>
      <c r="BK7" s="446"/>
      <c r="BL7" s="446"/>
    </row>
    <row r="8" spans="1:64">
      <c r="A8" s="263" t="str">
        <f>'1'!A8</f>
        <v>LINEHAUL EXPRESS SINGAPORE PTE LTD</v>
      </c>
      <c r="B8" s="15"/>
      <c r="C8" s="15"/>
      <c r="D8" s="15"/>
      <c r="E8" s="15"/>
      <c r="F8" s="15"/>
      <c r="G8" s="15"/>
      <c r="H8" s="15"/>
      <c r="I8" s="15"/>
      <c r="J8" s="15"/>
      <c r="K8" s="15"/>
      <c r="L8" s="15"/>
      <c r="M8" s="15"/>
      <c r="N8" s="15"/>
      <c r="O8" s="15"/>
      <c r="P8" s="15"/>
      <c r="Q8" s="15"/>
      <c r="R8" s="15"/>
      <c r="S8" s="15"/>
      <c r="T8" s="7"/>
      <c r="U8" s="8"/>
      <c r="V8" s="8"/>
      <c r="W8" s="8"/>
      <c r="X8" s="8"/>
      <c r="Y8" s="8"/>
      <c r="Z8" s="8"/>
      <c r="AA8" s="8"/>
      <c r="AB8" s="8"/>
      <c r="AC8" s="8"/>
      <c r="AD8" s="8"/>
      <c r="AE8" s="8"/>
      <c r="AF8" s="8"/>
      <c r="AG8" s="9"/>
      <c r="AH8" s="447"/>
      <c r="AI8" s="446"/>
      <c r="AJ8" s="446"/>
      <c r="AK8" s="446"/>
      <c r="AL8" s="446"/>
      <c r="AM8" s="446"/>
      <c r="AN8" s="446"/>
      <c r="AO8" s="446"/>
      <c r="AP8" s="446"/>
      <c r="AQ8" s="446"/>
      <c r="AR8" s="446"/>
      <c r="AS8" s="446"/>
      <c r="AT8" s="446"/>
      <c r="AU8" s="446"/>
      <c r="AV8" s="446"/>
      <c r="AW8" s="446"/>
      <c r="AX8" s="446"/>
      <c r="AY8" s="446"/>
      <c r="AZ8" s="446"/>
      <c r="BA8" s="446"/>
      <c r="BB8" s="446"/>
      <c r="BC8" s="446"/>
      <c r="BD8" s="446"/>
      <c r="BE8" s="446"/>
      <c r="BF8" s="446"/>
      <c r="BG8" s="446"/>
      <c r="BH8" s="446"/>
      <c r="BI8" s="446"/>
      <c r="BJ8" s="446"/>
      <c r="BK8" s="446"/>
      <c r="BL8" s="446"/>
    </row>
    <row r="9" spans="1:64">
      <c r="A9" s="448" t="str">
        <f>'1'!A9</f>
        <v>7 AIRLINE ROAD, 03-12 CARGO AGENT'S BUILDING - E
SINGAPORE - 819834
PHONE +65 65453778</v>
      </c>
      <c r="B9" s="340"/>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447"/>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row>
    <row r="10" spans="1:64">
      <c r="A10" s="339"/>
      <c r="B10" s="340"/>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447"/>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row>
    <row r="11" spans="1:64">
      <c r="A11" s="339"/>
      <c r="B11" s="340"/>
      <c r="C11" s="340"/>
      <c r="D11" s="340"/>
      <c r="E11" s="340"/>
      <c r="F11" s="340"/>
      <c r="G11" s="340"/>
      <c r="H11" s="340"/>
      <c r="I11" s="340"/>
      <c r="J11" s="340"/>
      <c r="K11" s="340"/>
      <c r="L11" s="340"/>
      <c r="M11" s="340"/>
      <c r="N11" s="340"/>
      <c r="O11" s="340"/>
      <c r="P11" s="340"/>
      <c r="Q11" s="340"/>
      <c r="R11" s="340"/>
      <c r="S11" s="340"/>
      <c r="T11" s="340"/>
      <c r="U11" s="340"/>
      <c r="V11" s="340"/>
      <c r="W11" s="340"/>
      <c r="X11" s="340"/>
      <c r="Y11" s="340"/>
      <c r="Z11" s="340"/>
      <c r="AA11" s="340"/>
      <c r="AB11" s="340"/>
      <c r="AC11" s="340"/>
      <c r="AD11" s="340"/>
      <c r="AE11" s="340"/>
      <c r="AF11" s="340"/>
      <c r="AG11" s="341"/>
      <c r="AH11" s="447"/>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row>
    <row r="12" spans="1:64">
      <c r="A12" s="339"/>
      <c r="B12" s="340"/>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1"/>
      <c r="AH12" s="447"/>
      <c r="AI12" s="446"/>
      <c r="AJ12" s="446"/>
      <c r="AK12" s="446"/>
      <c r="AL12" s="446"/>
      <c r="AM12" s="446"/>
      <c r="AN12" s="446"/>
      <c r="AO12" s="446"/>
      <c r="AP12" s="446"/>
      <c r="AQ12" s="446"/>
      <c r="AR12" s="446"/>
      <c r="AS12" s="446"/>
      <c r="AT12" s="446"/>
      <c r="AU12" s="446"/>
      <c r="AV12" s="446"/>
      <c r="AW12" s="446"/>
      <c r="AX12" s="446"/>
      <c r="AY12" s="446"/>
      <c r="AZ12" s="446"/>
      <c r="BA12" s="446"/>
      <c r="BB12" s="446"/>
      <c r="BC12" s="446"/>
      <c r="BD12" s="446"/>
      <c r="BE12" s="446"/>
      <c r="BF12" s="446"/>
      <c r="BG12" s="446"/>
      <c r="BH12" s="446"/>
      <c r="BI12" s="446"/>
      <c r="BJ12" s="446"/>
      <c r="BK12" s="446"/>
      <c r="BL12" s="446"/>
    </row>
    <row r="13" spans="1:64">
      <c r="A13" s="455" t="s">
        <v>15</v>
      </c>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7"/>
      <c r="AA13" s="337"/>
      <c r="AB13" s="337"/>
      <c r="AC13" s="337"/>
      <c r="AD13" s="337"/>
      <c r="AE13" s="337"/>
      <c r="AF13" s="337"/>
      <c r="AG13" s="338"/>
      <c r="AH13" s="337" t="s">
        <v>16</v>
      </c>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8"/>
    </row>
    <row r="14" spans="1:64">
      <c r="A14" s="433" t="str">
        <f>'1'!A14</f>
        <v>PT PLI</v>
      </c>
      <c r="B14" s="434"/>
      <c r="C14" s="434"/>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35"/>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431"/>
    </row>
    <row r="15" spans="1:64">
      <c r="A15" s="436"/>
      <c r="B15" s="437"/>
      <c r="C15" s="437"/>
      <c r="D15" s="437"/>
      <c r="E15" s="437"/>
      <c r="F15" s="437"/>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8"/>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431"/>
    </row>
    <row r="16" spans="1:64">
      <c r="A16" s="417" t="s">
        <v>18</v>
      </c>
      <c r="B16" s="417"/>
      <c r="C16" s="417"/>
      <c r="D16" s="417"/>
      <c r="E16" s="417"/>
      <c r="F16" s="417"/>
      <c r="G16" s="417"/>
      <c r="H16" s="417"/>
      <c r="I16" s="417"/>
      <c r="J16" s="417"/>
      <c r="K16" s="417"/>
      <c r="L16" s="417"/>
      <c r="M16" s="417"/>
      <c r="N16" s="417"/>
      <c r="O16" s="417"/>
      <c r="P16" s="417"/>
      <c r="Q16" s="417" t="s">
        <v>19</v>
      </c>
      <c r="R16" s="417"/>
      <c r="S16" s="417"/>
      <c r="T16" s="417"/>
      <c r="U16" s="417"/>
      <c r="V16" s="417"/>
      <c r="W16" s="417"/>
      <c r="X16" s="417"/>
      <c r="Y16" s="417"/>
      <c r="Z16" s="417"/>
      <c r="AA16" s="417"/>
      <c r="AB16" s="417"/>
      <c r="AC16" s="417"/>
      <c r="AD16" s="417"/>
      <c r="AE16" s="417"/>
      <c r="AF16" s="417"/>
      <c r="AG16" s="417"/>
      <c r="AH16" s="335"/>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431"/>
    </row>
    <row r="17" spans="1:64">
      <c r="A17" s="439"/>
      <c r="B17" s="439"/>
      <c r="C17" s="439"/>
      <c r="D17" s="439"/>
      <c r="E17" s="439"/>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335"/>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431"/>
    </row>
    <row r="18" spans="1:64">
      <c r="A18" s="455" t="s">
        <v>20</v>
      </c>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c r="Z18" s="337"/>
      <c r="AA18" s="337"/>
      <c r="AB18" s="337"/>
      <c r="AC18" s="337"/>
      <c r="AD18" s="337"/>
      <c r="AE18" s="337"/>
      <c r="AF18" s="337"/>
      <c r="AG18" s="338"/>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431"/>
    </row>
    <row r="19" spans="1:64">
      <c r="A19" s="436" t="str">
        <f>'1'!A19</f>
        <v>SOEKARNO-HATTA INTERNATIONAL AIRPORT</v>
      </c>
      <c r="B19" s="437"/>
      <c r="C19" s="437"/>
      <c r="D19" s="437"/>
      <c r="E19" s="437"/>
      <c r="F19" s="437"/>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8"/>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2"/>
      <c r="BK19" s="432"/>
      <c r="BL19" s="416"/>
    </row>
    <row r="20" spans="1:64" ht="15" customHeight="1">
      <c r="A20" s="413" t="str">
        <f>'1'!A20</f>
        <v>SIN</v>
      </c>
      <c r="B20" s="413"/>
      <c r="C20" s="286"/>
      <c r="D20" s="294" t="s">
        <v>23</v>
      </c>
      <c r="E20" s="295"/>
      <c r="F20" s="295"/>
      <c r="G20" s="295"/>
      <c r="H20" s="295"/>
      <c r="I20" s="295"/>
      <c r="J20" s="295"/>
      <c r="K20" s="295"/>
      <c r="L20" s="295"/>
      <c r="M20" s="295"/>
      <c r="N20" s="295"/>
      <c r="O20" s="295"/>
      <c r="P20" s="295"/>
      <c r="Q20" s="295"/>
      <c r="R20" s="295"/>
      <c r="S20" s="295"/>
      <c r="T20" s="295"/>
      <c r="U20" s="296"/>
      <c r="V20" s="416" t="s">
        <v>26</v>
      </c>
      <c r="W20" s="417"/>
      <c r="X20" s="417"/>
      <c r="Y20" s="417" t="s">
        <v>27</v>
      </c>
      <c r="Z20" s="417"/>
      <c r="AA20" s="417"/>
      <c r="AB20" s="417" t="s">
        <v>26</v>
      </c>
      <c r="AC20" s="417"/>
      <c r="AD20" s="417"/>
      <c r="AE20" s="417" t="s">
        <v>27</v>
      </c>
      <c r="AF20" s="417"/>
      <c r="AG20" s="417"/>
      <c r="AH20" s="276" t="s">
        <v>28</v>
      </c>
      <c r="AI20" s="277"/>
      <c r="AJ20" s="277"/>
      <c r="AK20" s="278"/>
      <c r="AL20" s="420" t="s">
        <v>29</v>
      </c>
      <c r="AM20" s="421"/>
      <c r="AN20" s="297" t="s">
        <v>30</v>
      </c>
      <c r="AO20" s="297"/>
      <c r="AP20" s="297"/>
      <c r="AQ20" s="297"/>
      <c r="AR20" s="297" t="s">
        <v>31</v>
      </c>
      <c r="AS20" s="297"/>
      <c r="AT20" s="297"/>
      <c r="AU20" s="297"/>
      <c r="AV20" s="279" t="s">
        <v>32</v>
      </c>
      <c r="AW20" s="280"/>
      <c r="AX20" s="280"/>
      <c r="AY20" s="280"/>
      <c r="AZ20" s="280"/>
      <c r="BA20" s="280"/>
      <c r="BB20" s="280"/>
      <c r="BC20" s="280"/>
      <c r="BD20" s="281"/>
      <c r="BE20" s="279" t="s">
        <v>33</v>
      </c>
      <c r="BF20" s="280"/>
      <c r="BG20" s="280"/>
      <c r="BH20" s="280"/>
      <c r="BI20" s="280"/>
      <c r="BJ20" s="280"/>
      <c r="BK20" s="280"/>
      <c r="BL20" s="281"/>
    </row>
    <row r="21" spans="1:64">
      <c r="A21" s="414"/>
      <c r="B21" s="414"/>
      <c r="C21" s="415"/>
      <c r="D21" s="282" t="str">
        <f>'1'!D21</f>
        <v>GARUDA INDONESIA</v>
      </c>
      <c r="E21" s="283"/>
      <c r="F21" s="283"/>
      <c r="G21" s="283"/>
      <c r="H21" s="283"/>
      <c r="I21" s="283"/>
      <c r="J21" s="283"/>
      <c r="K21" s="283"/>
      <c r="L21" s="283"/>
      <c r="M21" s="283"/>
      <c r="N21" s="283"/>
      <c r="O21" s="283"/>
      <c r="P21" s="283"/>
      <c r="Q21" s="283"/>
      <c r="R21" s="284"/>
      <c r="S21" s="284"/>
      <c r="T21" s="284"/>
      <c r="U21" s="285"/>
      <c r="V21" s="418"/>
      <c r="W21" s="419"/>
      <c r="X21" s="419"/>
      <c r="Y21" s="419"/>
      <c r="Z21" s="419"/>
      <c r="AA21" s="419"/>
      <c r="AB21" s="419"/>
      <c r="AC21" s="419"/>
      <c r="AD21" s="419"/>
      <c r="AE21" s="419"/>
      <c r="AF21" s="419"/>
      <c r="AG21" s="419"/>
      <c r="AH21" s="286" t="str">
        <f>'1'!AH21</f>
        <v>IDR</v>
      </c>
      <c r="AI21" s="287"/>
      <c r="AJ21" s="287"/>
      <c r="AK21" s="288"/>
      <c r="AL21" s="421"/>
      <c r="AM21" s="421"/>
      <c r="AN21" s="289" t="s">
        <v>72</v>
      </c>
      <c r="AO21" s="290"/>
      <c r="AP21" s="289" t="s">
        <v>73</v>
      </c>
      <c r="AQ21" s="290"/>
      <c r="AR21" s="289" t="s">
        <v>72</v>
      </c>
      <c r="AS21" s="290"/>
      <c r="AT21" s="290" t="s">
        <v>36</v>
      </c>
      <c r="AU21" s="290"/>
      <c r="AV21" s="291" t="str">
        <f>'1'!AV21</f>
        <v>NVD</v>
      </c>
      <c r="AW21" s="292"/>
      <c r="AX21" s="292"/>
      <c r="AY21" s="292"/>
      <c r="AZ21" s="292"/>
      <c r="BA21" s="292"/>
      <c r="BB21" s="292"/>
      <c r="BC21" s="292"/>
      <c r="BD21" s="293"/>
      <c r="BE21" s="291" t="str">
        <f>'1'!BE21</f>
        <v>NCV</v>
      </c>
      <c r="BF21" s="292"/>
      <c r="BG21" s="292"/>
      <c r="BH21" s="292"/>
      <c r="BI21" s="292"/>
      <c r="BJ21" s="292"/>
      <c r="BK21" s="292"/>
      <c r="BL21" s="293"/>
    </row>
    <row r="22" spans="1:64">
      <c r="A22" s="428" t="s">
        <v>39</v>
      </c>
      <c r="B22" s="429"/>
      <c r="C22" s="429"/>
      <c r="D22" s="429"/>
      <c r="E22" s="429"/>
      <c r="F22" s="429"/>
      <c r="G22" s="429"/>
      <c r="H22" s="429"/>
      <c r="I22" s="429"/>
      <c r="J22" s="429"/>
      <c r="K22" s="429"/>
      <c r="L22" s="429"/>
      <c r="M22" s="429"/>
      <c r="N22" s="429"/>
      <c r="O22" s="429"/>
      <c r="P22" s="429"/>
      <c r="Q22" s="430"/>
      <c r="R22" s="273" t="s">
        <v>40</v>
      </c>
      <c r="S22" s="273"/>
      <c r="T22" s="273"/>
      <c r="U22" s="273"/>
      <c r="V22" s="273"/>
      <c r="W22" s="273"/>
      <c r="X22" s="273"/>
      <c r="Y22" s="273"/>
      <c r="Z22" s="273"/>
      <c r="AA22" s="273"/>
      <c r="AB22" s="273"/>
      <c r="AC22" s="273"/>
      <c r="AD22" s="273" t="s">
        <v>40</v>
      </c>
      <c r="AE22" s="274"/>
      <c r="AF22" s="274"/>
      <c r="AG22" s="275"/>
      <c r="AH22" s="276" t="s">
        <v>41</v>
      </c>
      <c r="AI22" s="277"/>
      <c r="AJ22" s="277"/>
      <c r="AK22" s="277"/>
      <c r="AL22" s="277"/>
      <c r="AM22" s="277"/>
      <c r="AN22" s="277"/>
      <c r="AO22" s="277"/>
      <c r="AP22" s="277"/>
      <c r="AQ22" s="278"/>
      <c r="AR22" s="407" t="s">
        <v>42</v>
      </c>
      <c r="AS22" s="408"/>
      <c r="AT22" s="408"/>
      <c r="AU22" s="408"/>
      <c r="AV22" s="408"/>
      <c r="AW22" s="408"/>
      <c r="AX22" s="408"/>
      <c r="AY22" s="408"/>
      <c r="AZ22" s="408"/>
      <c r="BA22" s="408"/>
      <c r="BB22" s="408"/>
      <c r="BC22" s="408"/>
      <c r="BD22" s="408"/>
      <c r="BE22" s="408"/>
      <c r="BF22" s="408"/>
      <c r="BG22" s="408"/>
      <c r="BH22" s="408"/>
      <c r="BI22" s="408"/>
      <c r="BJ22" s="408"/>
      <c r="BK22" s="408"/>
      <c r="BL22" s="409"/>
    </row>
    <row r="23" spans="1:64">
      <c r="A23" s="329" t="str">
        <f>'1'!A23</f>
        <v>SINGAPORE</v>
      </c>
      <c r="B23" s="330"/>
      <c r="C23" s="330"/>
      <c r="D23" s="330"/>
      <c r="E23" s="330"/>
      <c r="F23" s="330"/>
      <c r="G23" s="330"/>
      <c r="H23" s="330"/>
      <c r="I23" s="330"/>
      <c r="J23" s="330"/>
      <c r="K23" s="330"/>
      <c r="L23" s="330"/>
      <c r="M23" s="330"/>
      <c r="N23" s="330"/>
      <c r="O23" s="330"/>
      <c r="P23" s="330"/>
      <c r="Q23" s="331"/>
      <c r="R23" s="16" t="str">
        <f>'9'!R23</f>
        <v>GA 824</v>
      </c>
      <c r="S23" s="16"/>
      <c r="T23" s="16"/>
      <c r="U23" s="16"/>
      <c r="V23" s="16"/>
      <c r="W23" s="16"/>
      <c r="X23" s="16"/>
      <c r="Y23" s="17"/>
      <c r="Z23" s="332">
        <f>'9'!Z23</f>
        <v>46171</v>
      </c>
      <c r="AA23" s="333"/>
      <c r="AB23" s="333"/>
      <c r="AC23" s="333"/>
      <c r="AD23" s="333"/>
      <c r="AE23" s="333"/>
      <c r="AF23" s="333"/>
      <c r="AG23" s="334"/>
      <c r="AH23" s="286" t="s">
        <v>45</v>
      </c>
      <c r="AI23" s="287"/>
      <c r="AJ23" s="287"/>
      <c r="AK23" s="287"/>
      <c r="AL23" s="287"/>
      <c r="AM23" s="287"/>
      <c r="AN23" s="287"/>
      <c r="AO23" s="287"/>
      <c r="AP23" s="287"/>
      <c r="AQ23" s="288"/>
      <c r="AR23" s="410"/>
      <c r="AS23" s="411"/>
      <c r="AT23" s="411"/>
      <c r="AU23" s="411"/>
      <c r="AV23" s="411"/>
      <c r="AW23" s="411"/>
      <c r="AX23" s="411"/>
      <c r="AY23" s="411"/>
      <c r="AZ23" s="411"/>
      <c r="BA23" s="411"/>
      <c r="BB23" s="411"/>
      <c r="BC23" s="411"/>
      <c r="BD23" s="411"/>
      <c r="BE23" s="411"/>
      <c r="BF23" s="411"/>
      <c r="BG23" s="411"/>
      <c r="BH23" s="411"/>
      <c r="BI23" s="411"/>
      <c r="BJ23" s="411"/>
      <c r="BK23" s="411"/>
      <c r="BL23" s="412"/>
    </row>
    <row r="24" spans="1:64">
      <c r="A24" s="335" t="s">
        <v>46</v>
      </c>
      <c r="B24" s="336"/>
      <c r="C24" s="336"/>
      <c r="D24" s="336"/>
      <c r="E24" s="336"/>
      <c r="F24" s="336"/>
      <c r="G24" s="336"/>
      <c r="H24" s="336"/>
      <c r="I24" s="336"/>
      <c r="J24" s="336"/>
      <c r="K24" s="336"/>
      <c r="L24" s="336"/>
      <c r="M24" s="336"/>
      <c r="N24" s="336"/>
      <c r="O24" s="336"/>
      <c r="P24" s="336"/>
      <c r="Q24" s="336"/>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8"/>
    </row>
    <row r="25" spans="1:64">
      <c r="A25" s="18">
        <f>'1'!A25</f>
        <v>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20"/>
    </row>
    <row r="26" spans="1:64">
      <c r="A26" s="21">
        <f>'9'!A26</f>
        <v>0</v>
      </c>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3"/>
    </row>
    <row r="27" spans="1:64" ht="15.75">
      <c r="A27" s="327" t="s">
        <v>47</v>
      </c>
      <c r="B27" s="327"/>
      <c r="C27" s="327"/>
      <c r="D27" s="327" t="s">
        <v>48</v>
      </c>
      <c r="E27" s="327"/>
      <c r="F27" s="327"/>
      <c r="G27" s="327"/>
      <c r="H27" s="327"/>
      <c r="I27" s="327"/>
      <c r="J27" s="379" t="s">
        <v>49</v>
      </c>
      <c r="K27" s="382"/>
      <c r="L27" s="425" t="s">
        <v>50</v>
      </c>
      <c r="M27" s="406"/>
      <c r="N27" s="406"/>
      <c r="O27" s="406"/>
      <c r="P27" s="406"/>
      <c r="Q27" s="406"/>
      <c r="R27" s="382"/>
      <c r="S27" s="406" t="s">
        <v>51</v>
      </c>
      <c r="T27" s="406"/>
      <c r="U27" s="406"/>
      <c r="V27" s="406"/>
      <c r="W27" s="406"/>
      <c r="X27" s="406"/>
      <c r="Y27" s="406"/>
      <c r="Z27" s="382"/>
      <c r="AA27" s="24" t="s">
        <v>52</v>
      </c>
      <c r="AB27" s="25"/>
      <c r="AC27" s="25"/>
      <c r="AD27" s="25"/>
      <c r="AE27" s="25"/>
      <c r="AF27" s="25"/>
      <c r="AG27" s="26"/>
      <c r="AH27" s="384"/>
      <c r="AI27" s="406" t="s">
        <v>53</v>
      </c>
      <c r="AJ27" s="406"/>
      <c r="AK27" s="406"/>
      <c r="AL27" s="406"/>
      <c r="AM27" s="406"/>
      <c r="AN27" s="406"/>
      <c r="AO27" s="406"/>
      <c r="AP27" s="406"/>
      <c r="AQ27" s="406"/>
      <c r="AR27" s="382"/>
      <c r="AS27" s="327" t="s">
        <v>54</v>
      </c>
      <c r="AT27" s="406"/>
      <c r="AU27" s="406"/>
      <c r="AV27" s="406"/>
      <c r="AW27" s="406"/>
      <c r="AX27" s="406"/>
      <c r="AY27" s="406"/>
      <c r="AZ27" s="406"/>
      <c r="BA27" s="406"/>
      <c r="BB27" s="406"/>
      <c r="BC27" s="406"/>
      <c r="BD27" s="406"/>
      <c r="BE27" s="406"/>
      <c r="BF27" s="406"/>
      <c r="BG27" s="406"/>
      <c r="BH27" s="406"/>
      <c r="BI27" s="406"/>
      <c r="BJ27" s="406"/>
      <c r="BK27" s="406"/>
      <c r="BL27" s="406"/>
    </row>
    <row r="28" spans="1:64" ht="21" customHeight="1">
      <c r="A28" s="328"/>
      <c r="B28" s="328"/>
      <c r="C28" s="328"/>
      <c r="D28" s="328"/>
      <c r="E28" s="328"/>
      <c r="F28" s="328"/>
      <c r="G28" s="328"/>
      <c r="H28" s="328"/>
      <c r="I28" s="328"/>
      <c r="J28" s="380"/>
      <c r="K28" s="383"/>
      <c r="L28" s="27"/>
      <c r="M28" s="426" t="s">
        <v>55</v>
      </c>
      <c r="N28" s="426"/>
      <c r="O28" s="426"/>
      <c r="P28" s="426"/>
      <c r="Q28" s="427"/>
      <c r="R28" s="382"/>
      <c r="S28" s="297"/>
      <c r="T28" s="297"/>
      <c r="U28" s="297"/>
      <c r="V28" s="297"/>
      <c r="W28" s="297"/>
      <c r="X28" s="297"/>
      <c r="Y28" s="297"/>
      <c r="Z28" s="382"/>
      <c r="AA28" s="28"/>
      <c r="AB28" s="29"/>
      <c r="AC28" s="29"/>
      <c r="AD28" s="29"/>
      <c r="AE28" s="30" t="s">
        <v>56</v>
      </c>
      <c r="AF28" s="29"/>
      <c r="AG28" s="31"/>
      <c r="AH28" s="384"/>
      <c r="AI28" s="297"/>
      <c r="AJ28" s="297"/>
      <c r="AK28" s="297"/>
      <c r="AL28" s="297"/>
      <c r="AM28" s="297"/>
      <c r="AN28" s="297"/>
      <c r="AO28" s="297"/>
      <c r="AP28" s="297"/>
      <c r="AQ28" s="297"/>
      <c r="AR28" s="382"/>
      <c r="AS28" s="297"/>
      <c r="AT28" s="297"/>
      <c r="AU28" s="297"/>
      <c r="AV28" s="297"/>
      <c r="AW28" s="297"/>
      <c r="AX28" s="297"/>
      <c r="AY28" s="297"/>
      <c r="AZ28" s="297"/>
      <c r="BA28" s="297"/>
      <c r="BB28" s="297"/>
      <c r="BC28" s="297"/>
      <c r="BD28" s="297"/>
      <c r="BE28" s="297"/>
      <c r="BF28" s="297"/>
      <c r="BG28" s="297"/>
      <c r="BH28" s="297"/>
      <c r="BI28" s="297"/>
      <c r="BJ28" s="297"/>
      <c r="BK28" s="297"/>
      <c r="BL28" s="297"/>
    </row>
    <row r="29" spans="1:64">
      <c r="A29" s="304">
        <f>'1'!A29</f>
        <v>23</v>
      </c>
      <c r="B29" s="305"/>
      <c r="C29" s="306"/>
      <c r="D29" s="314">
        <f>'1'!D29</f>
        <v>398</v>
      </c>
      <c r="E29" s="315"/>
      <c r="F29" s="315"/>
      <c r="G29" s="315"/>
      <c r="H29" s="315"/>
      <c r="I29" s="316"/>
      <c r="J29" s="381" t="s">
        <v>57</v>
      </c>
      <c r="K29" s="382"/>
      <c r="L29" s="381" t="s">
        <v>58</v>
      </c>
      <c r="M29" s="324"/>
      <c r="N29" s="325"/>
      <c r="O29" s="325"/>
      <c r="P29" s="325"/>
      <c r="Q29" s="326"/>
      <c r="R29" s="382"/>
      <c r="S29" s="314">
        <f>'1'!S29</f>
        <v>398</v>
      </c>
      <c r="T29" s="315"/>
      <c r="U29" s="315"/>
      <c r="V29" s="315"/>
      <c r="W29" s="315"/>
      <c r="X29" s="315"/>
      <c r="Y29" s="316"/>
      <c r="Z29" s="382"/>
      <c r="AA29" s="320">
        <f>'1'!AA29</f>
        <v>16800</v>
      </c>
      <c r="AB29" s="320"/>
      <c r="AC29" s="320"/>
      <c r="AD29" s="320"/>
      <c r="AE29" s="320"/>
      <c r="AF29" s="320"/>
      <c r="AG29" s="319"/>
      <c r="AH29" s="382"/>
      <c r="AI29" s="342">
        <f>'1'!AI29</f>
        <v>6686400</v>
      </c>
      <c r="AJ29" s="343"/>
      <c r="AK29" s="343"/>
      <c r="AL29" s="343"/>
      <c r="AM29" s="343"/>
      <c r="AN29" s="343"/>
      <c r="AO29" s="343"/>
      <c r="AP29" s="343"/>
      <c r="AQ29" s="344"/>
      <c r="AR29" s="382"/>
      <c r="AS29" s="1347">
        <f>'9'!AS29</f>
        <v>0</v>
      </c>
      <c r="AT29" s="371"/>
      <c r="AU29" s="371"/>
      <c r="AV29" s="371"/>
      <c r="AW29" s="371"/>
      <c r="AX29" s="371"/>
      <c r="AY29" s="371"/>
      <c r="AZ29" s="371"/>
      <c r="BA29" s="371"/>
      <c r="BB29" s="371"/>
      <c r="BC29" s="371"/>
      <c r="BD29" s="371"/>
      <c r="BE29" s="371"/>
      <c r="BF29" s="371"/>
      <c r="BG29" s="371"/>
      <c r="BH29" s="371"/>
      <c r="BI29" s="371"/>
      <c r="BJ29" s="371"/>
      <c r="BK29" s="371"/>
      <c r="BL29" s="372"/>
    </row>
    <row r="30" spans="1:64">
      <c r="A30" s="307"/>
      <c r="B30" s="310"/>
      <c r="C30" s="309"/>
      <c r="D30" s="317"/>
      <c r="E30" s="320"/>
      <c r="F30" s="320"/>
      <c r="G30" s="320"/>
      <c r="H30" s="320"/>
      <c r="I30" s="319"/>
      <c r="J30" s="381"/>
      <c r="K30" s="382"/>
      <c r="L30" s="381"/>
      <c r="M30" s="324"/>
      <c r="N30" s="325"/>
      <c r="O30" s="325"/>
      <c r="P30" s="325"/>
      <c r="Q30" s="326"/>
      <c r="R30" s="382"/>
      <c r="S30" s="317"/>
      <c r="T30" s="320"/>
      <c r="U30" s="320"/>
      <c r="V30" s="320"/>
      <c r="W30" s="320"/>
      <c r="X30" s="320"/>
      <c r="Y30" s="319"/>
      <c r="Z30" s="382"/>
      <c r="AA30" s="320"/>
      <c r="AB30" s="320"/>
      <c r="AC30" s="320"/>
      <c r="AD30" s="320"/>
      <c r="AE30" s="320"/>
      <c r="AF30" s="320"/>
      <c r="AG30" s="319"/>
      <c r="AH30" s="382"/>
      <c r="AI30" s="345"/>
      <c r="AJ30" s="348"/>
      <c r="AK30" s="348"/>
      <c r="AL30" s="348"/>
      <c r="AM30" s="348"/>
      <c r="AN30" s="348"/>
      <c r="AO30" s="348"/>
      <c r="AP30" s="348"/>
      <c r="AQ30" s="347"/>
      <c r="AR30" s="382"/>
      <c r="AS30" s="339"/>
      <c r="AT30" s="340"/>
      <c r="AU30" s="340"/>
      <c r="AV30" s="340"/>
      <c r="AW30" s="340"/>
      <c r="AX30" s="340"/>
      <c r="AY30" s="340"/>
      <c r="AZ30" s="340"/>
      <c r="BA30" s="340"/>
      <c r="BB30" s="340"/>
      <c r="BC30" s="340"/>
      <c r="BD30" s="340"/>
      <c r="BE30" s="340"/>
      <c r="BF30" s="340"/>
      <c r="BG30" s="340"/>
      <c r="BH30" s="340"/>
      <c r="BI30" s="340"/>
      <c r="BJ30" s="340"/>
      <c r="BK30" s="340"/>
      <c r="BL30" s="341"/>
    </row>
    <row r="31" spans="1:64">
      <c r="A31" s="307"/>
      <c r="B31" s="310"/>
      <c r="C31" s="309"/>
      <c r="D31" s="317"/>
      <c r="E31" s="320"/>
      <c r="F31" s="320"/>
      <c r="G31" s="320"/>
      <c r="H31" s="320"/>
      <c r="I31" s="319"/>
      <c r="J31" s="381"/>
      <c r="K31" s="382"/>
      <c r="L31" s="381"/>
      <c r="M31" s="324"/>
      <c r="N31" s="325"/>
      <c r="O31" s="325"/>
      <c r="P31" s="325"/>
      <c r="Q31" s="326"/>
      <c r="R31" s="382"/>
      <c r="S31" s="317"/>
      <c r="T31" s="320"/>
      <c r="U31" s="320"/>
      <c r="V31" s="320"/>
      <c r="W31" s="320"/>
      <c r="X31" s="320"/>
      <c r="Y31" s="319"/>
      <c r="Z31" s="382"/>
      <c r="AA31" s="320"/>
      <c r="AB31" s="320"/>
      <c r="AC31" s="320"/>
      <c r="AD31" s="320"/>
      <c r="AE31" s="320"/>
      <c r="AF31" s="320"/>
      <c r="AG31" s="319"/>
      <c r="AH31" s="382"/>
      <c r="AI31" s="345"/>
      <c r="AJ31" s="348"/>
      <c r="AK31" s="348"/>
      <c r="AL31" s="348"/>
      <c r="AM31" s="348"/>
      <c r="AN31" s="348"/>
      <c r="AO31" s="348"/>
      <c r="AP31" s="348"/>
      <c r="AQ31" s="347"/>
      <c r="AR31" s="382"/>
      <c r="AS31" s="339"/>
      <c r="AT31" s="340"/>
      <c r="AU31" s="340"/>
      <c r="AV31" s="340"/>
      <c r="AW31" s="340"/>
      <c r="AX31" s="340"/>
      <c r="AY31" s="340"/>
      <c r="AZ31" s="340"/>
      <c r="BA31" s="340"/>
      <c r="BB31" s="340"/>
      <c r="BC31" s="340"/>
      <c r="BD31" s="340"/>
      <c r="BE31" s="340"/>
      <c r="BF31" s="340"/>
      <c r="BG31" s="340"/>
      <c r="BH31" s="340"/>
      <c r="BI31" s="340"/>
      <c r="BJ31" s="340"/>
      <c r="BK31" s="340"/>
      <c r="BL31" s="341"/>
    </row>
    <row r="32" spans="1:64">
      <c r="A32" s="307"/>
      <c r="B32" s="310"/>
      <c r="C32" s="309"/>
      <c r="D32" s="317"/>
      <c r="E32" s="320"/>
      <c r="F32" s="320"/>
      <c r="G32" s="320"/>
      <c r="H32" s="320"/>
      <c r="I32" s="319"/>
      <c r="J32" s="381"/>
      <c r="K32" s="382"/>
      <c r="L32" s="381"/>
      <c r="M32" s="324"/>
      <c r="N32" s="325"/>
      <c r="O32" s="325"/>
      <c r="P32" s="325"/>
      <c r="Q32" s="326"/>
      <c r="R32" s="382"/>
      <c r="S32" s="317"/>
      <c r="T32" s="320"/>
      <c r="U32" s="320"/>
      <c r="V32" s="320"/>
      <c r="W32" s="320"/>
      <c r="X32" s="320"/>
      <c r="Y32" s="319"/>
      <c r="Z32" s="382"/>
      <c r="AA32" s="320"/>
      <c r="AB32" s="320"/>
      <c r="AC32" s="320"/>
      <c r="AD32" s="320"/>
      <c r="AE32" s="320"/>
      <c r="AF32" s="320"/>
      <c r="AG32" s="319"/>
      <c r="AH32" s="382"/>
      <c r="AI32" s="345"/>
      <c r="AJ32" s="348"/>
      <c r="AK32" s="348"/>
      <c r="AL32" s="348"/>
      <c r="AM32" s="348"/>
      <c r="AN32" s="348"/>
      <c r="AO32" s="348"/>
      <c r="AP32" s="348"/>
      <c r="AQ32" s="347"/>
      <c r="AR32" s="382"/>
      <c r="AS32" s="339"/>
      <c r="AT32" s="340"/>
      <c r="AU32" s="340"/>
      <c r="AV32" s="340"/>
      <c r="AW32" s="340"/>
      <c r="AX32" s="340"/>
      <c r="AY32" s="340"/>
      <c r="AZ32" s="340"/>
      <c r="BA32" s="340"/>
      <c r="BB32" s="340"/>
      <c r="BC32" s="340"/>
      <c r="BD32" s="340"/>
      <c r="BE32" s="340"/>
      <c r="BF32" s="340"/>
      <c r="BG32" s="340"/>
      <c r="BH32" s="340"/>
      <c r="BI32" s="340"/>
      <c r="BJ32" s="340"/>
      <c r="BK32" s="340"/>
      <c r="BL32" s="341"/>
    </row>
    <row r="33" spans="1:64">
      <c r="A33" s="307"/>
      <c r="B33" s="310"/>
      <c r="C33" s="309"/>
      <c r="D33" s="317"/>
      <c r="E33" s="320"/>
      <c r="F33" s="320"/>
      <c r="G33" s="320"/>
      <c r="H33" s="320"/>
      <c r="I33" s="319"/>
      <c r="J33" s="381"/>
      <c r="K33" s="382"/>
      <c r="L33" s="381"/>
      <c r="M33" s="324"/>
      <c r="N33" s="325"/>
      <c r="O33" s="325"/>
      <c r="P33" s="325"/>
      <c r="Q33" s="326"/>
      <c r="R33" s="382"/>
      <c r="S33" s="317"/>
      <c r="T33" s="320"/>
      <c r="U33" s="320"/>
      <c r="V33" s="320"/>
      <c r="W33" s="320"/>
      <c r="X33" s="320"/>
      <c r="Y33" s="319"/>
      <c r="Z33" s="382"/>
      <c r="AA33" s="320"/>
      <c r="AB33" s="320"/>
      <c r="AC33" s="320"/>
      <c r="AD33" s="320"/>
      <c r="AE33" s="320"/>
      <c r="AF33" s="320"/>
      <c r="AG33" s="319"/>
      <c r="AH33" s="382"/>
      <c r="AI33" s="345"/>
      <c r="AJ33" s="348"/>
      <c r="AK33" s="348"/>
      <c r="AL33" s="348"/>
      <c r="AM33" s="348"/>
      <c r="AN33" s="348"/>
      <c r="AO33" s="348"/>
      <c r="AP33" s="348"/>
      <c r="AQ33" s="347"/>
      <c r="AR33" s="382"/>
      <c r="AS33" s="339"/>
      <c r="AT33" s="340"/>
      <c r="AU33" s="340"/>
      <c r="AV33" s="340"/>
      <c r="AW33" s="340"/>
      <c r="AX33" s="340"/>
      <c r="AY33" s="340"/>
      <c r="AZ33" s="340"/>
      <c r="BA33" s="340"/>
      <c r="BB33" s="340"/>
      <c r="BC33" s="340"/>
      <c r="BD33" s="340"/>
      <c r="BE33" s="340"/>
      <c r="BF33" s="340"/>
      <c r="BG33" s="340"/>
      <c r="BH33" s="340"/>
      <c r="BI33" s="340"/>
      <c r="BJ33" s="340"/>
      <c r="BK33" s="340"/>
      <c r="BL33" s="341"/>
    </row>
    <row r="34" spans="1:64">
      <c r="A34" s="311"/>
      <c r="B34" s="312"/>
      <c r="C34" s="313"/>
      <c r="D34" s="321"/>
      <c r="E34" s="322"/>
      <c r="F34" s="322"/>
      <c r="G34" s="322"/>
      <c r="H34" s="322"/>
      <c r="I34" s="323"/>
      <c r="J34" s="381"/>
      <c r="K34" s="382"/>
      <c r="L34" s="381"/>
      <c r="M34" s="324"/>
      <c r="N34" s="325"/>
      <c r="O34" s="325"/>
      <c r="P34" s="325"/>
      <c r="Q34" s="326"/>
      <c r="R34" s="382"/>
      <c r="S34" s="317"/>
      <c r="T34" s="320"/>
      <c r="U34" s="320"/>
      <c r="V34" s="320"/>
      <c r="W34" s="320"/>
      <c r="X34" s="320"/>
      <c r="Y34" s="319"/>
      <c r="Z34" s="382"/>
      <c r="AA34" s="320"/>
      <c r="AB34" s="320"/>
      <c r="AC34" s="320"/>
      <c r="AD34" s="320"/>
      <c r="AE34" s="320"/>
      <c r="AF34" s="320"/>
      <c r="AG34" s="319"/>
      <c r="AH34" s="382"/>
      <c r="AI34" s="345"/>
      <c r="AJ34" s="348"/>
      <c r="AK34" s="348"/>
      <c r="AL34" s="348"/>
      <c r="AM34" s="348"/>
      <c r="AN34" s="348"/>
      <c r="AO34" s="348"/>
      <c r="AP34" s="348"/>
      <c r="AQ34" s="347"/>
      <c r="AR34" s="382"/>
      <c r="AS34" s="339"/>
      <c r="AT34" s="340"/>
      <c r="AU34" s="340"/>
      <c r="AV34" s="340"/>
      <c r="AW34" s="340"/>
      <c r="AX34" s="340"/>
      <c r="AY34" s="340"/>
      <c r="AZ34" s="340"/>
      <c r="BA34" s="340"/>
      <c r="BB34" s="340"/>
      <c r="BC34" s="340"/>
      <c r="BD34" s="340"/>
      <c r="BE34" s="340"/>
      <c r="BF34" s="340"/>
      <c r="BG34" s="340"/>
      <c r="BH34" s="340"/>
      <c r="BI34" s="340"/>
      <c r="BJ34" s="340"/>
      <c r="BK34" s="340"/>
      <c r="BL34" s="341"/>
    </row>
    <row r="35" spans="1:64">
      <c r="A35" s="1385"/>
      <c r="B35" s="1386"/>
      <c r="C35" s="1387"/>
      <c r="D35" s="1385"/>
      <c r="E35" s="1386"/>
      <c r="F35" s="1386"/>
      <c r="G35" s="1386"/>
      <c r="H35" s="1386"/>
      <c r="I35" s="1387"/>
      <c r="J35" s="381"/>
      <c r="K35" s="382"/>
      <c r="L35" s="381"/>
      <c r="M35" s="324"/>
      <c r="N35" s="325"/>
      <c r="O35" s="325"/>
      <c r="P35" s="325"/>
      <c r="Q35" s="326"/>
      <c r="R35" s="382"/>
      <c r="S35" s="317"/>
      <c r="T35" s="320"/>
      <c r="U35" s="320"/>
      <c r="V35" s="320"/>
      <c r="W35" s="320"/>
      <c r="X35" s="320"/>
      <c r="Y35" s="319"/>
      <c r="Z35" s="1406"/>
      <c r="AA35" s="320"/>
      <c r="AB35" s="322"/>
      <c r="AC35" s="322"/>
      <c r="AD35" s="322"/>
      <c r="AE35" s="322"/>
      <c r="AF35" s="322"/>
      <c r="AG35" s="323"/>
      <c r="AH35" s="1406"/>
      <c r="AI35" s="1388"/>
      <c r="AJ35" s="1389"/>
      <c r="AK35" s="1389"/>
      <c r="AL35" s="1389"/>
      <c r="AM35" s="1389"/>
      <c r="AN35" s="1389"/>
      <c r="AO35" s="1389"/>
      <c r="AP35" s="1389"/>
      <c r="AQ35" s="1390"/>
      <c r="AR35" s="1406"/>
      <c r="AS35" s="422"/>
      <c r="AT35" s="423"/>
      <c r="AU35" s="423"/>
      <c r="AV35" s="423"/>
      <c r="AW35" s="423"/>
      <c r="AX35" s="423"/>
      <c r="AY35" s="423"/>
      <c r="AZ35" s="423"/>
      <c r="BA35" s="423"/>
      <c r="BB35" s="423"/>
      <c r="BC35" s="423"/>
      <c r="BD35" s="423"/>
      <c r="BE35" s="423"/>
      <c r="BF35" s="423"/>
      <c r="BG35" s="423"/>
      <c r="BH35" s="423"/>
      <c r="BI35" s="423"/>
      <c r="BJ35" s="423"/>
      <c r="BK35" s="423"/>
      <c r="BL35" s="424"/>
    </row>
    <row r="36" spans="1:64" ht="15.75">
      <c r="A36" s="355">
        <f>AI29</f>
        <v>6686400</v>
      </c>
      <c r="B36" s="356"/>
      <c r="C36" s="356"/>
      <c r="D36" s="356"/>
      <c r="E36" s="356"/>
      <c r="F36" s="356"/>
      <c r="G36" s="356"/>
      <c r="H36" s="356"/>
      <c r="I36" s="356"/>
      <c r="J36" s="356"/>
      <c r="K36" s="356"/>
      <c r="L36" s="356"/>
      <c r="M36" s="357"/>
      <c r="N36" s="32"/>
      <c r="O36" s="32"/>
      <c r="P36" s="32"/>
      <c r="Q36" s="32"/>
      <c r="R36" s="32"/>
      <c r="S36" s="349"/>
      <c r="T36" s="349"/>
      <c r="U36" s="349"/>
      <c r="V36" s="349"/>
      <c r="W36" s="349"/>
      <c r="X36" s="349"/>
      <c r="Y36" s="349"/>
      <c r="Z36" s="32"/>
      <c r="AA36" s="33"/>
      <c r="AB36" s="1" t="s">
        <v>59</v>
      </c>
      <c r="AC36" s="2"/>
      <c r="AD36" s="2"/>
      <c r="AE36" s="2"/>
      <c r="AF36" s="2"/>
      <c r="AG36" s="2"/>
      <c r="AH36" s="2"/>
      <c r="AI36" s="361"/>
      <c r="AJ36" s="361"/>
      <c r="AK36" s="361"/>
      <c r="AL36" s="361"/>
      <c r="AM36" s="361"/>
      <c r="AN36" s="361"/>
      <c r="AO36" s="361"/>
      <c r="AP36" s="361"/>
      <c r="AQ36" s="361"/>
      <c r="AR36" s="2"/>
      <c r="AS36" s="2"/>
      <c r="AT36" s="2"/>
      <c r="AU36" s="2"/>
      <c r="AV36" s="2"/>
      <c r="AW36" s="2"/>
      <c r="AX36" s="2"/>
      <c r="AY36" s="2"/>
      <c r="AZ36" s="2"/>
      <c r="BA36" s="2"/>
      <c r="BB36" s="2"/>
      <c r="BC36" s="2"/>
      <c r="BD36" s="2"/>
      <c r="BE36" s="2"/>
      <c r="BF36" s="2"/>
      <c r="BG36" s="2"/>
      <c r="BH36" s="2"/>
      <c r="BI36" s="2"/>
      <c r="BJ36" s="2"/>
      <c r="BK36" s="2"/>
      <c r="BL36" s="3"/>
    </row>
    <row r="37" spans="1:64" ht="7.5" customHeight="1">
      <c r="A37" s="358"/>
      <c r="B37" s="359"/>
      <c r="C37" s="359"/>
      <c r="D37" s="359"/>
      <c r="E37" s="359"/>
      <c r="F37" s="359"/>
      <c r="G37" s="359"/>
      <c r="H37" s="359"/>
      <c r="I37" s="359"/>
      <c r="J37" s="359"/>
      <c r="K37" s="359"/>
      <c r="L37" s="359"/>
      <c r="M37" s="360"/>
      <c r="N37" s="34"/>
      <c r="O37" s="34"/>
      <c r="P37" s="34"/>
      <c r="Q37" s="34"/>
      <c r="R37" s="34"/>
      <c r="S37" s="34"/>
      <c r="T37" s="34"/>
      <c r="U37" s="34"/>
      <c r="V37" s="34"/>
      <c r="W37" s="34"/>
      <c r="X37" s="34"/>
      <c r="Y37" s="34"/>
      <c r="Z37" s="34"/>
      <c r="AA37" s="35"/>
      <c r="AB37" s="36"/>
      <c r="AC37" s="8"/>
      <c r="AD37" s="8"/>
      <c r="AE37" s="8"/>
      <c r="AF37" s="8"/>
      <c r="AG37" s="8"/>
      <c r="AH37" s="8"/>
      <c r="AI37" s="284"/>
      <c r="AJ37" s="284"/>
      <c r="AK37" s="284"/>
      <c r="AL37" s="284"/>
      <c r="AM37" s="284"/>
      <c r="AN37" s="284"/>
      <c r="AO37" s="284"/>
      <c r="AP37" s="284"/>
      <c r="AQ37" s="284"/>
      <c r="AR37" s="8"/>
      <c r="AS37" s="8"/>
      <c r="AT37" s="8"/>
      <c r="AU37" s="8"/>
      <c r="AV37" s="8"/>
      <c r="AW37" s="8"/>
      <c r="AX37" s="8"/>
      <c r="AY37" s="8"/>
      <c r="AZ37" s="8"/>
      <c r="BA37" s="8"/>
      <c r="BB37" s="8"/>
      <c r="BC37" s="8"/>
      <c r="BD37" s="8"/>
      <c r="BE37" s="8"/>
      <c r="BF37" s="8"/>
      <c r="BG37" s="8"/>
      <c r="BH37" s="8"/>
      <c r="BI37" s="8"/>
      <c r="BJ37" s="8"/>
      <c r="BK37" s="8"/>
      <c r="BL37" s="9"/>
    </row>
    <row r="38" spans="1:64" ht="15.75">
      <c r="A38" s="37"/>
      <c r="B38" s="32"/>
      <c r="C38" s="32"/>
      <c r="D38" s="32"/>
      <c r="E38" s="32"/>
      <c r="F38" s="32"/>
      <c r="G38" s="32"/>
      <c r="H38" s="32"/>
      <c r="I38" s="32"/>
      <c r="J38" s="32"/>
      <c r="K38" s="32"/>
      <c r="L38" s="32"/>
      <c r="M38" s="33"/>
      <c r="N38" s="38"/>
      <c r="O38" s="38"/>
      <c r="P38" s="38"/>
      <c r="Q38" s="38"/>
      <c r="R38" s="38"/>
      <c r="S38" s="38"/>
      <c r="T38" s="38"/>
      <c r="U38" s="38"/>
      <c r="V38" s="38"/>
      <c r="W38" s="38"/>
      <c r="X38" s="38"/>
      <c r="Y38" s="38"/>
      <c r="Z38" s="38"/>
      <c r="AA38" s="39"/>
      <c r="AB38" s="362"/>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row>
    <row r="39" spans="1:64" ht="7.5" customHeight="1">
      <c r="A39" s="40"/>
      <c r="B39" s="34"/>
      <c r="C39" s="34"/>
      <c r="D39" s="34"/>
      <c r="E39" s="34"/>
      <c r="F39" s="34"/>
      <c r="G39" s="34"/>
      <c r="H39" s="34"/>
      <c r="I39" s="34"/>
      <c r="J39" s="34"/>
      <c r="K39" s="34"/>
      <c r="L39" s="34"/>
      <c r="M39" s="35"/>
      <c r="N39" s="34"/>
      <c r="O39" s="34"/>
      <c r="P39" s="34"/>
      <c r="Q39" s="34"/>
      <c r="R39" s="34"/>
      <c r="S39" s="34"/>
      <c r="T39" s="34"/>
      <c r="U39" s="34"/>
      <c r="V39" s="34"/>
      <c r="W39" s="34"/>
      <c r="X39" s="34"/>
      <c r="Y39" s="34"/>
      <c r="Z39" s="34"/>
      <c r="AA39" s="35"/>
      <c r="AB39" s="362"/>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row>
    <row r="40" spans="1:64" ht="15.75">
      <c r="A40" s="37"/>
      <c r="B40" s="32"/>
      <c r="C40" s="32"/>
      <c r="D40" s="32"/>
      <c r="E40" s="41"/>
      <c r="F40" s="41"/>
      <c r="G40" s="41"/>
      <c r="H40" s="41"/>
      <c r="I40" s="41"/>
      <c r="J40" s="41"/>
      <c r="K40" s="41"/>
      <c r="L40" s="41"/>
      <c r="M40" s="42"/>
      <c r="N40" s="43"/>
      <c r="O40" s="43"/>
      <c r="P40" s="43"/>
      <c r="Q40" s="43"/>
      <c r="R40" s="43"/>
      <c r="S40" s="43"/>
      <c r="T40" s="43"/>
      <c r="U40" s="43"/>
      <c r="V40" s="43"/>
      <c r="W40" s="43"/>
      <c r="X40" s="38"/>
      <c r="Y40" s="38"/>
      <c r="Z40" s="38"/>
      <c r="AA40" s="39"/>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row>
    <row r="41" spans="1:64" ht="7.5" customHeight="1">
      <c r="A41" s="40"/>
      <c r="B41" s="34"/>
      <c r="C41" s="34"/>
      <c r="D41" s="34"/>
      <c r="E41" s="34"/>
      <c r="F41" s="34"/>
      <c r="G41" s="34"/>
      <c r="H41" s="34"/>
      <c r="I41" s="34"/>
      <c r="J41" s="34"/>
      <c r="K41" s="34"/>
      <c r="L41" s="34"/>
      <c r="M41" s="35"/>
      <c r="N41" s="34"/>
      <c r="O41" s="34"/>
      <c r="P41" s="34"/>
      <c r="Q41" s="34"/>
      <c r="R41" s="34"/>
      <c r="S41" s="34"/>
      <c r="T41" s="34"/>
      <c r="U41" s="34"/>
      <c r="V41" s="34"/>
      <c r="W41" s="34"/>
      <c r="X41" s="34"/>
      <c r="Y41" s="34"/>
      <c r="Z41" s="34"/>
      <c r="AA41" s="35"/>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row>
    <row r="42" spans="1:64" ht="15" customHeight="1">
      <c r="A42" s="37"/>
      <c r="B42" s="32"/>
      <c r="C42" s="32"/>
      <c r="D42" s="32"/>
      <c r="E42" s="32"/>
      <c r="F42" s="32"/>
      <c r="G42" s="32"/>
      <c r="H42" s="32"/>
      <c r="I42" s="32"/>
      <c r="J42" s="32"/>
      <c r="K42" s="32"/>
      <c r="L42" s="32"/>
      <c r="M42" s="33"/>
      <c r="N42" s="32"/>
      <c r="O42" s="32"/>
      <c r="P42" s="32"/>
      <c r="Q42" s="32"/>
      <c r="R42" s="32"/>
      <c r="S42" s="32"/>
      <c r="T42" s="32"/>
      <c r="U42" s="32"/>
      <c r="V42" s="32"/>
      <c r="W42" s="32"/>
      <c r="X42" s="32"/>
      <c r="Y42" s="32"/>
      <c r="Z42" s="32"/>
      <c r="AA42" s="33"/>
      <c r="AB42" s="364" t="s">
        <v>60</v>
      </c>
      <c r="AC42" s="365"/>
      <c r="AD42" s="365"/>
      <c r="AE42" s="365"/>
      <c r="AF42" s="365"/>
      <c r="AG42" s="365"/>
      <c r="AH42" s="365"/>
      <c r="AI42" s="365"/>
      <c r="AJ42" s="365"/>
      <c r="AK42" s="365"/>
      <c r="AL42" s="365"/>
      <c r="AM42" s="365"/>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5"/>
      <c r="BK42" s="365"/>
      <c r="BL42" s="366"/>
    </row>
    <row r="43" spans="1:64" ht="7.5" customHeight="1">
      <c r="A43" s="40"/>
      <c r="B43" s="34"/>
      <c r="C43" s="34"/>
      <c r="D43" s="34"/>
      <c r="E43" s="34"/>
      <c r="F43" s="34"/>
      <c r="G43" s="34"/>
      <c r="H43" s="34"/>
      <c r="I43" s="34"/>
      <c r="J43" s="34"/>
      <c r="K43" s="34"/>
      <c r="L43" s="34"/>
      <c r="M43" s="35"/>
      <c r="N43" s="34"/>
      <c r="O43" s="34"/>
      <c r="P43" s="34"/>
      <c r="Q43" s="34"/>
      <c r="R43" s="34"/>
      <c r="S43" s="34"/>
      <c r="T43" s="34"/>
      <c r="U43" s="34"/>
      <c r="V43" s="34"/>
      <c r="W43" s="34"/>
      <c r="X43" s="34"/>
      <c r="Y43" s="34"/>
      <c r="Z43" s="34"/>
      <c r="AA43" s="35"/>
      <c r="AB43" s="367"/>
      <c r="AC43" s="368"/>
      <c r="AD43" s="368"/>
      <c r="AE43" s="368"/>
      <c r="AF43" s="368"/>
      <c r="AG43" s="368"/>
      <c r="AH43" s="368"/>
      <c r="AI43" s="368"/>
      <c r="AJ43" s="368"/>
      <c r="AK43" s="368"/>
      <c r="AL43" s="368"/>
      <c r="AM43" s="368"/>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8"/>
      <c r="BK43" s="368"/>
      <c r="BL43" s="369"/>
    </row>
    <row r="44" spans="1:64" ht="15.75">
      <c r="A44" s="389">
        <f>'1'!A46</f>
        <v>1052092</v>
      </c>
      <c r="B44" s="390"/>
      <c r="C44" s="390"/>
      <c r="D44" s="390"/>
      <c r="E44" s="390"/>
      <c r="F44" s="390"/>
      <c r="G44" s="390"/>
      <c r="H44" s="390"/>
      <c r="I44" s="390"/>
      <c r="J44" s="390"/>
      <c r="K44" s="390"/>
      <c r="L44" s="390"/>
      <c r="M44" s="391"/>
      <c r="N44" s="32"/>
      <c r="O44" s="32"/>
      <c r="P44" s="32"/>
      <c r="Q44" s="32"/>
      <c r="R44" s="32"/>
      <c r="S44" s="32"/>
      <c r="T44" s="32"/>
      <c r="U44" s="32"/>
      <c r="V44" s="32"/>
      <c r="W44" s="32"/>
      <c r="X44" s="32"/>
      <c r="Y44" s="32"/>
      <c r="Z44" s="32"/>
      <c r="AA44" s="33"/>
      <c r="AB44" s="395" t="str">
        <f>A3</f>
        <v>PT. NUR INFINIT INDOALEA GLOBAL</v>
      </c>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396"/>
      <c r="BF44" s="396"/>
      <c r="BG44" s="396"/>
      <c r="BH44" s="396"/>
      <c r="BI44" s="396"/>
      <c r="BJ44" s="396"/>
      <c r="BK44" s="396"/>
      <c r="BL44" s="397"/>
    </row>
    <row r="45" spans="1:64" ht="7.5" customHeight="1">
      <c r="A45" s="392"/>
      <c r="B45" s="393"/>
      <c r="C45" s="393"/>
      <c r="D45" s="393"/>
      <c r="E45" s="393"/>
      <c r="F45" s="393"/>
      <c r="G45" s="393"/>
      <c r="H45" s="393"/>
      <c r="I45" s="393"/>
      <c r="J45" s="393"/>
      <c r="K45" s="393"/>
      <c r="L45" s="393"/>
      <c r="M45" s="394"/>
      <c r="N45" s="34"/>
      <c r="O45" s="34"/>
      <c r="P45" s="34"/>
      <c r="Q45" s="34"/>
      <c r="R45" s="34"/>
      <c r="S45" s="34"/>
      <c r="T45" s="34"/>
      <c r="U45" s="34"/>
      <c r="V45" s="34"/>
      <c r="W45" s="34"/>
      <c r="X45" s="34"/>
      <c r="Y45" s="34"/>
      <c r="Z45" s="34"/>
      <c r="AA45" s="35"/>
      <c r="AB45" s="398"/>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399"/>
      <c r="BK45" s="399"/>
      <c r="BL45" s="400"/>
    </row>
    <row r="46" spans="1:64" ht="15.75">
      <c r="A46" s="44"/>
      <c r="B46" s="45"/>
      <c r="C46" s="45"/>
      <c r="D46" s="45"/>
      <c r="E46" s="46"/>
      <c r="F46" s="46"/>
      <c r="G46" s="46"/>
      <c r="H46" s="46"/>
      <c r="I46" s="46"/>
      <c r="J46" s="46"/>
      <c r="K46" s="46"/>
      <c r="L46" s="46"/>
      <c r="M46" s="47"/>
      <c r="N46" s="48"/>
      <c r="O46" s="46"/>
      <c r="P46" s="46"/>
      <c r="Q46" s="46"/>
      <c r="R46" s="46"/>
      <c r="S46" s="46"/>
      <c r="T46" s="46"/>
      <c r="U46" s="46"/>
      <c r="V46" s="46"/>
      <c r="W46" s="46"/>
      <c r="X46" s="45"/>
      <c r="Y46" s="45"/>
      <c r="Z46" s="45"/>
      <c r="AA46" s="45"/>
      <c r="AB46" s="350" t="s">
        <v>61</v>
      </c>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2"/>
    </row>
    <row r="47" spans="1:64" ht="6" customHeight="1">
      <c r="A47" s="49"/>
      <c r="B47" s="50"/>
      <c r="C47" s="50"/>
      <c r="D47" s="50"/>
      <c r="E47" s="50"/>
      <c r="F47" s="50"/>
      <c r="G47" s="50"/>
      <c r="H47" s="50"/>
      <c r="I47" s="50"/>
      <c r="J47" s="50"/>
      <c r="K47" s="50"/>
      <c r="L47" s="50"/>
      <c r="M47" s="51"/>
      <c r="N47" s="49"/>
      <c r="O47" s="50"/>
      <c r="P47" s="50"/>
      <c r="Q47" s="50"/>
      <c r="R47" s="50"/>
      <c r="S47" s="50"/>
      <c r="T47" s="50"/>
      <c r="U47" s="50"/>
      <c r="V47" s="50"/>
      <c r="W47" s="50"/>
      <c r="X47" s="50"/>
      <c r="Y47" s="50"/>
      <c r="Z47" s="50"/>
      <c r="AA47" s="50"/>
      <c r="AB47" s="37"/>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3"/>
    </row>
    <row r="48" spans="1:64" ht="15.75">
      <c r="A48" s="355">
        <f>A36+A44</f>
        <v>7738492</v>
      </c>
      <c r="B48" s="401"/>
      <c r="C48" s="401"/>
      <c r="D48" s="401"/>
      <c r="E48" s="401"/>
      <c r="F48" s="401"/>
      <c r="G48" s="401"/>
      <c r="H48" s="401"/>
      <c r="I48" s="401"/>
      <c r="J48" s="401"/>
      <c r="K48" s="401"/>
      <c r="L48" s="401"/>
      <c r="M48" s="402"/>
      <c r="N48" s="37"/>
      <c r="O48" s="349"/>
      <c r="P48" s="349"/>
      <c r="Q48" s="349"/>
      <c r="R48" s="349"/>
      <c r="S48" s="349"/>
      <c r="T48" s="349"/>
      <c r="U48" s="349"/>
      <c r="V48" s="349"/>
      <c r="W48" s="349"/>
      <c r="X48" s="349"/>
      <c r="Y48" s="349"/>
      <c r="Z48" s="349"/>
      <c r="AA48" s="32"/>
      <c r="AB48" s="52"/>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9"/>
    </row>
    <row r="49" spans="1:64" ht="7.5" customHeight="1">
      <c r="A49" s="403"/>
      <c r="B49" s="404"/>
      <c r="C49" s="404"/>
      <c r="D49" s="404"/>
      <c r="E49" s="404"/>
      <c r="F49" s="404"/>
      <c r="G49" s="404"/>
      <c r="H49" s="404"/>
      <c r="I49" s="404"/>
      <c r="J49" s="404"/>
      <c r="K49" s="404"/>
      <c r="L49" s="404"/>
      <c r="M49" s="405"/>
      <c r="N49" s="40"/>
      <c r="O49" s="34"/>
      <c r="P49" s="34"/>
      <c r="Q49" s="34"/>
      <c r="R49" s="34"/>
      <c r="S49" s="34"/>
      <c r="T49" s="34"/>
      <c r="U49" s="34"/>
      <c r="V49" s="34"/>
      <c r="W49" s="34"/>
      <c r="X49" s="34"/>
      <c r="Y49" s="34"/>
      <c r="Z49" s="34"/>
      <c r="AA49" s="34"/>
      <c r="AB49" s="52"/>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9"/>
    </row>
    <row r="50" spans="1:64" ht="16.5">
      <c r="A50" s="37"/>
      <c r="B50" s="349"/>
      <c r="C50" s="349"/>
      <c r="D50" s="349"/>
      <c r="E50" s="349"/>
      <c r="F50" s="349"/>
      <c r="G50" s="349"/>
      <c r="H50" s="349"/>
      <c r="I50" s="349"/>
      <c r="J50" s="349"/>
      <c r="K50" s="349"/>
      <c r="L50" s="349"/>
      <c r="M50" s="33"/>
      <c r="N50" s="37"/>
      <c r="O50" s="349"/>
      <c r="P50" s="349"/>
      <c r="Q50" s="349"/>
      <c r="R50" s="349"/>
      <c r="S50" s="349"/>
      <c r="T50" s="349"/>
      <c r="U50" s="349"/>
      <c r="V50" s="349"/>
      <c r="W50" s="349"/>
      <c r="X50" s="349"/>
      <c r="Y50" s="349"/>
      <c r="Z50" s="349"/>
      <c r="AA50" s="32"/>
      <c r="AB50" s="53"/>
      <c r="AC50" s="353">
        <f>'1'!AC52</f>
        <v>46171</v>
      </c>
      <c r="AD50" s="354"/>
      <c r="AE50" s="354"/>
      <c r="AF50" s="354"/>
      <c r="AG50" s="354"/>
      <c r="AH50" s="354"/>
      <c r="AI50" s="354"/>
      <c r="AJ50" s="354"/>
      <c r="AK50" s="354"/>
      <c r="AL50" s="54"/>
      <c r="AM50" s="55"/>
      <c r="AN50" s="55"/>
      <c r="AO50" s="354" t="str">
        <f>'1'!AO52</f>
        <v>CGK</v>
      </c>
      <c r="AP50" s="354"/>
      <c r="AQ50" s="354"/>
      <c r="AR50" s="354"/>
      <c r="AS50" s="55"/>
      <c r="AT50" s="55"/>
      <c r="AU50" s="55"/>
      <c r="AV50" s="55"/>
      <c r="AW50" s="55"/>
      <c r="AX50" s="55"/>
      <c r="AY50" s="55"/>
      <c r="AZ50" s="55"/>
      <c r="BA50" s="55"/>
      <c r="BB50" s="55"/>
      <c r="BC50" s="55"/>
      <c r="BD50" s="55"/>
      <c r="BE50" s="55"/>
      <c r="BF50" s="55"/>
      <c r="BG50" s="55"/>
      <c r="BH50" s="55"/>
      <c r="BI50" s="55"/>
      <c r="BJ50" s="55"/>
      <c r="BK50" s="55"/>
      <c r="BL50" s="56"/>
    </row>
    <row r="51" spans="1:64" ht="7.5" customHeight="1">
      <c r="A51" s="40"/>
      <c r="B51" s="34"/>
      <c r="C51" s="34"/>
      <c r="D51" s="34"/>
      <c r="E51" s="34"/>
      <c r="F51" s="34"/>
      <c r="G51" s="34"/>
      <c r="H51" s="34"/>
      <c r="I51" s="34"/>
      <c r="J51" s="34"/>
      <c r="K51" s="34"/>
      <c r="L51" s="34"/>
      <c r="M51" s="35"/>
      <c r="N51" s="40"/>
      <c r="O51" s="34"/>
      <c r="P51" s="34"/>
      <c r="Q51" s="34"/>
      <c r="R51" s="34"/>
      <c r="S51" s="34"/>
      <c r="T51" s="34"/>
      <c r="U51" s="34"/>
      <c r="V51" s="34"/>
      <c r="W51" s="34"/>
      <c r="X51" s="34"/>
      <c r="Y51" s="34"/>
      <c r="Z51" s="34"/>
      <c r="AA51" s="34"/>
      <c r="AB51" s="1407" t="s">
        <v>62</v>
      </c>
      <c r="AC51" s="1408"/>
      <c r="AD51" s="1408"/>
      <c r="AE51" s="1408"/>
      <c r="AF51" s="1408"/>
      <c r="AG51" s="1408"/>
      <c r="AH51" s="57"/>
      <c r="AI51" s="57"/>
      <c r="AJ51" s="1408" t="s">
        <v>63</v>
      </c>
      <c r="AK51" s="1408"/>
      <c r="AL51" s="1408"/>
      <c r="AM51" s="30"/>
      <c r="AN51" s="30"/>
      <c r="AO51" s="30"/>
      <c r="AP51" s="375" t="s">
        <v>64</v>
      </c>
      <c r="AQ51" s="375"/>
      <c r="AR51" s="30"/>
      <c r="AS51" s="30"/>
      <c r="AT51" s="30"/>
      <c r="AU51" s="375" t="s">
        <v>65</v>
      </c>
      <c r="AV51" s="375"/>
      <c r="AW51" s="375"/>
      <c r="AX51" s="375"/>
      <c r="AY51" s="375"/>
      <c r="AZ51" s="30"/>
      <c r="BA51" s="375" t="s">
        <v>66</v>
      </c>
      <c r="BB51" s="375"/>
      <c r="BC51" s="375"/>
      <c r="BD51" s="375"/>
      <c r="BE51" s="375"/>
      <c r="BF51" s="375"/>
      <c r="BG51" s="375"/>
      <c r="BH51" s="375"/>
      <c r="BI51" s="375"/>
      <c r="BJ51" s="375"/>
      <c r="BK51" s="375"/>
      <c r="BL51" s="376"/>
    </row>
    <row r="52" spans="1:64" ht="15.75">
      <c r="A52" s="279" t="s">
        <v>67</v>
      </c>
      <c r="B52" s="277"/>
      <c r="C52" s="277"/>
      <c r="D52" s="277"/>
      <c r="E52" s="277"/>
      <c r="F52" s="277"/>
      <c r="G52" s="277"/>
      <c r="H52" s="277"/>
      <c r="I52" s="277"/>
      <c r="J52" s="277"/>
      <c r="K52" s="277"/>
      <c r="L52" s="277"/>
      <c r="M52" s="278"/>
      <c r="N52" s="37"/>
      <c r="O52" s="349"/>
      <c r="P52" s="349"/>
      <c r="Q52" s="349"/>
      <c r="R52" s="349"/>
      <c r="S52" s="349"/>
      <c r="T52" s="349"/>
      <c r="U52" s="349"/>
      <c r="V52" s="349"/>
      <c r="W52" s="349"/>
      <c r="X52" s="349"/>
      <c r="Y52" s="349"/>
      <c r="Z52" s="349"/>
      <c r="AA52" s="32"/>
      <c r="AB52" s="52"/>
      <c r="AC52" s="377"/>
      <c r="AD52" s="377"/>
      <c r="AE52" s="377"/>
      <c r="AF52" s="377"/>
      <c r="AG52" s="377"/>
      <c r="AH52" s="377"/>
      <c r="AI52" s="377"/>
      <c r="AJ52" s="377"/>
      <c r="AK52" s="377"/>
      <c r="AL52" s="377"/>
      <c r="AM52" s="377"/>
      <c r="AN52" s="39"/>
      <c r="AO52" s="385" t="str">
        <f>AT1</f>
        <v>126-91929552</v>
      </c>
      <c r="AP52" s="386"/>
      <c r="AQ52" s="386"/>
      <c r="AR52" s="386"/>
      <c r="AS52" s="386"/>
      <c r="AT52" s="386"/>
      <c r="AU52" s="386"/>
      <c r="AV52" s="386"/>
      <c r="AW52" s="386"/>
      <c r="AX52" s="386"/>
      <c r="AY52" s="386"/>
      <c r="AZ52" s="386"/>
      <c r="BA52" s="386"/>
      <c r="BB52" s="386"/>
      <c r="BC52" s="386"/>
      <c r="BD52" s="386"/>
      <c r="BE52" s="386"/>
      <c r="BF52" s="386"/>
      <c r="BG52" s="386"/>
      <c r="BH52" s="386"/>
      <c r="BI52" s="386"/>
      <c r="BJ52" s="386"/>
      <c r="BK52" s="386"/>
      <c r="BL52" s="386"/>
    </row>
    <row r="53" spans="1:64" ht="7.5" customHeight="1">
      <c r="A53" s="374"/>
      <c r="B53" s="375"/>
      <c r="C53" s="375"/>
      <c r="D53" s="375"/>
      <c r="E53" s="375"/>
      <c r="F53" s="375"/>
      <c r="G53" s="375"/>
      <c r="H53" s="375"/>
      <c r="I53" s="375"/>
      <c r="J53" s="375"/>
      <c r="K53" s="375"/>
      <c r="L53" s="375"/>
      <c r="M53" s="376"/>
      <c r="N53" s="40"/>
      <c r="O53" s="34"/>
      <c r="P53" s="34"/>
      <c r="Q53" s="34"/>
      <c r="R53" s="34"/>
      <c r="S53" s="34"/>
      <c r="T53" s="34"/>
      <c r="U53" s="34"/>
      <c r="V53" s="34"/>
      <c r="W53" s="34"/>
      <c r="X53" s="34"/>
      <c r="Y53" s="34"/>
      <c r="Z53" s="34"/>
      <c r="AA53" s="34"/>
      <c r="AB53" s="40"/>
      <c r="AC53" s="34"/>
      <c r="AD53" s="34"/>
      <c r="AE53" s="34"/>
      <c r="AF53" s="34"/>
      <c r="AG53" s="34"/>
      <c r="AH53" s="34"/>
      <c r="AI53" s="34"/>
      <c r="AJ53" s="34"/>
      <c r="AK53" s="34"/>
      <c r="AL53" s="34"/>
      <c r="AM53" s="34"/>
      <c r="AN53" s="35"/>
      <c r="AO53" s="387"/>
      <c r="AP53" s="388"/>
      <c r="AQ53" s="388"/>
      <c r="AR53" s="388"/>
      <c r="AS53" s="388"/>
      <c r="AT53" s="388"/>
      <c r="AU53" s="388"/>
      <c r="AV53" s="388"/>
      <c r="AW53" s="388"/>
      <c r="AX53" s="388"/>
      <c r="AY53" s="388"/>
      <c r="AZ53" s="388"/>
      <c r="BA53" s="388"/>
      <c r="BB53" s="388"/>
      <c r="BC53" s="388"/>
      <c r="BD53" s="388"/>
      <c r="BE53" s="388"/>
      <c r="BF53" s="388"/>
      <c r="BG53" s="388"/>
      <c r="BH53" s="388"/>
      <c r="BI53" s="388"/>
      <c r="BJ53" s="388"/>
      <c r="BK53" s="388"/>
      <c r="BL53" s="388"/>
    </row>
    <row r="54" spans="1:64" ht="15.75">
      <c r="A54" s="378" t="s">
        <v>81</v>
      </c>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c r="BF54" s="378"/>
      <c r="BG54" s="378"/>
      <c r="BH54" s="378"/>
      <c r="BI54" s="378"/>
      <c r="BJ54" s="378"/>
      <c r="BK54" s="378"/>
      <c r="BL54" s="378"/>
    </row>
  </sheetData>
  <mergeCells count="98">
    <mergeCell ref="AH13:BL19"/>
    <mergeCell ref="A14:AG15"/>
    <mergeCell ref="A16:P17"/>
    <mergeCell ref="Q16:AG17"/>
    <mergeCell ref="A4:AG6"/>
    <mergeCell ref="AH7:BL12"/>
    <mergeCell ref="A9:AG12"/>
    <mergeCell ref="AN2:BL5"/>
    <mergeCell ref="A7:S7"/>
    <mergeCell ref="T7:AG7"/>
    <mergeCell ref="A13:AG13"/>
    <mergeCell ref="A18:AG18"/>
    <mergeCell ref="A19:AG19"/>
    <mergeCell ref="A20:C21"/>
    <mergeCell ref="V20:X21"/>
    <mergeCell ref="Y20:AA21"/>
    <mergeCell ref="AB20:AD21"/>
    <mergeCell ref="AE20:AG21"/>
    <mergeCell ref="O52:Z52"/>
    <mergeCell ref="AC52:AM52"/>
    <mergeCell ref="A54:BL54"/>
    <mergeCell ref="J27:J28"/>
    <mergeCell ref="J29:J35"/>
    <mergeCell ref="K27:K35"/>
    <mergeCell ref="L29:L35"/>
    <mergeCell ref="R27:R35"/>
    <mergeCell ref="Z27:Z35"/>
    <mergeCell ref="AH27:AH35"/>
    <mergeCell ref="AR27:AR35"/>
    <mergeCell ref="A52:M53"/>
    <mergeCell ref="AO52:BL53"/>
    <mergeCell ref="A44:M45"/>
    <mergeCell ref="AB44:BL45"/>
    <mergeCell ref="A48:M49"/>
    <mergeCell ref="AB51:AG51"/>
    <mergeCell ref="AJ51:AL51"/>
    <mergeCell ref="AP51:AQ51"/>
    <mergeCell ref="AU51:AY51"/>
    <mergeCell ref="BA51:BL51"/>
    <mergeCell ref="AI27:AQ28"/>
    <mergeCell ref="AB46:BL46"/>
    <mergeCell ref="O48:Z48"/>
    <mergeCell ref="B50:L50"/>
    <mergeCell ref="O50:Z50"/>
    <mergeCell ref="AC50:AK50"/>
    <mergeCell ref="AO50:AR50"/>
    <mergeCell ref="AB38:BL39"/>
    <mergeCell ref="AB40:BL41"/>
    <mergeCell ref="AB42:BL43"/>
    <mergeCell ref="A29:C34"/>
    <mergeCell ref="D29:I34"/>
    <mergeCell ref="M29:Q35"/>
    <mergeCell ref="AA29:AG35"/>
    <mergeCell ref="AI29:AQ34"/>
    <mergeCell ref="AS29:BL35"/>
    <mergeCell ref="A35:C35"/>
    <mergeCell ref="D35:I35"/>
    <mergeCell ref="AI35:AQ35"/>
    <mergeCell ref="S36:Y36"/>
    <mergeCell ref="A36:M37"/>
    <mergeCell ref="AI36:AQ37"/>
    <mergeCell ref="S29:Y35"/>
    <mergeCell ref="A23:Q23"/>
    <mergeCell ref="Z23:AG23"/>
    <mergeCell ref="AH23:AQ23"/>
    <mergeCell ref="A24:BL24"/>
    <mergeCell ref="L27:Q27"/>
    <mergeCell ref="AR22:BL23"/>
    <mergeCell ref="AS27:BL28"/>
    <mergeCell ref="A22:Q22"/>
    <mergeCell ref="R22:U22"/>
    <mergeCell ref="V22:AC22"/>
    <mergeCell ref="AD22:AG22"/>
    <mergeCell ref="AH22:AQ22"/>
    <mergeCell ref="M28:Q28"/>
    <mergeCell ref="A27:C28"/>
    <mergeCell ref="D27:I28"/>
    <mergeCell ref="S27:Y28"/>
    <mergeCell ref="BE20:BL20"/>
    <mergeCell ref="D21:U21"/>
    <mergeCell ref="AH21:AK21"/>
    <mergeCell ref="AN21:AO21"/>
    <mergeCell ref="AP21:AQ21"/>
    <mergeCell ref="AR21:AS21"/>
    <mergeCell ref="AT21:AU21"/>
    <mergeCell ref="AV21:BD21"/>
    <mergeCell ref="BE21:BL21"/>
    <mergeCell ref="AL20:AM21"/>
    <mergeCell ref="D20:U20"/>
    <mergeCell ref="AH20:AK20"/>
    <mergeCell ref="AN20:AQ20"/>
    <mergeCell ref="AR20:AU20"/>
    <mergeCell ref="AV20:BD20"/>
    <mergeCell ref="A1:C1"/>
    <mergeCell ref="D1:F1"/>
    <mergeCell ref="G1:S1"/>
    <mergeCell ref="AT1:BJ1"/>
    <mergeCell ref="AH6:BL6"/>
  </mergeCells>
  <pageMargins left="0.23958333333333301" right="0.23958333333333301" top="0" bottom="0.75" header="0" footer="0.30972222222222201"/>
  <pageSetup paperSize="9" scale="99" orientation="portrait" verticalDpi="20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vt:lpstr>
      <vt:lpstr>2</vt:lpstr>
      <vt:lpstr>3</vt:lpstr>
      <vt:lpstr>4</vt:lpstr>
      <vt:lpstr>5</vt:lpstr>
      <vt:lpstr>6</vt:lpstr>
      <vt:lpstr>7</vt:lpstr>
      <vt:lpstr>8</vt:lpstr>
      <vt:lpstr>9</vt:lpstr>
      <vt:lpstr>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Quraisy Abdurrahman</dc:creator>
  <cp:keywords/>
  <dc:description/>
  <cp:lastModifiedBy>Quraisy Abdurrahman</cp:lastModifiedBy>
  <cp:revision/>
  <cp:lastPrinted>2026-06-08T18:40:20Z</cp:lastPrinted>
  <dcterms:created xsi:type="dcterms:W3CDTF">2025-11-21T15:46:00Z</dcterms:created>
  <dcterms:modified xsi:type="dcterms:W3CDTF">2026-06-08T18:40:35Z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E61EEFDF66CA7FA5875D1B6A849712F7_42</vt:lpwstr>
  </property>
  <property fmtid="{D5CDD505-2E9C-101B-9397-08002B2CF9AE}" pid="3" name="KSOProductBuildVer">
    <vt:lpwstr>1033-12.1.25897.25897</vt:lpwstr>
  </property>
  <property fmtid="{D5CDD505-2E9C-101B-9397-08002B2CF9AE}" pid="4" name="CalculationRule">
    <vt:i4>0</vt:i4>
  </property>
</Properties>
</file>